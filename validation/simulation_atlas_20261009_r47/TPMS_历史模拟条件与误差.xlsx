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36e9add3ed4d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加载时长与峰位" sheetId="1" r:id="R2344a7e2c6074a0e"/>
    <x:sheet xmlns:r="http://schemas.openxmlformats.org/officeDocument/2006/relationships" name="曲线条件" sheetId="2" r:id="R5dd24deda53f4706"/>
    <x:sheet xmlns:r="http://schemas.openxmlformats.org/officeDocument/2006/relationships" name="窗口误差" sheetId="3" r:id="Rdcb621346d3242a7"/>
    <x:sheet xmlns:r="http://schemas.openxmlformats.org/officeDocument/2006/relationships" name="定点误差" sheetId="4" r:id="Rc436bcdae67d48ec"/>
    <x:sheet xmlns:r="http://schemas.openxmlformats.org/officeDocument/2006/relationships" name="峰与保载差" sheetId="5" r:id="Rec3ec4e7adae409a"/>
    <x:sheet xmlns:r="http://schemas.openxmlformats.org/officeDocument/2006/relationships" name="初始与静力点" sheetId="6" r:id="Re4e884bafe8f4ca5"/>
    <x:sheet xmlns:r="http://schemas.openxmlformats.org/officeDocument/2006/relationships" name="记录范围" sheetId="7" r:id="R0467f593b0b74c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0"/>
    <x:numFmt numFmtId="201" formatCode="0.000"/>
    <x:numFmt numFmtId="202" formatCode="0.0000"/>
    <x:numFmt numFmtId="203" formatCode="0.00"/>
    <x:numFmt numFmtId="204" formatCode="0.00%"/>
  </x:numFmts>
  <x:fonts count="6">
    <x:font>
      <x:sz val="11"/>
      <x:name val="Carlito"/>
    </x:font>
    <x:font>
      <x:b/>
      <x:sz val="14"/>
      <x:color rgb="FF24354B"/>
      <x:name val="Arial"/>
    </x:font>
    <x:font>
      <x:sz val="10"/>
      <x:color rgb="FF202733"/>
      <x:name val="Arial"/>
    </x:font>
    <x:font>
      <x:b/>
      <x:sz val="10"/>
      <x:color rgb="FFFFFFFF"/>
      <x:name val="Arial"/>
    </x:font>
    <x:font>
      <x:sz val="10"/>
      <x:color rgb="FF374151"/>
      <x:name val="Arial"/>
    </x:font>
    <x:font>
      <x:b/>
      <x:sz val="10"/>
      <x:color rgb="FF24354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C6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202" fontId="2" fillId="0" borderId="0" xfId="0" applyNumberFormat="1" applyFont="1" applyFill="1" applyBorder="1"/>
    <x:xf numFmtId="204" fontId="2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2" fillId="0" borderId="0" xfId="0" applyNumberFormat="1" applyFont="1" applyFill="1" applyBorder="1" applyAlignment="1">
      <x:alignment vertical="center"/>
    </x:xf>
    <x:xf numFmtId="204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07c76f1d624f20" /><Relationship Type="http://schemas.openxmlformats.org/officeDocument/2006/relationships/theme" Target="/xl/theme/theme1.xml" Id="Rde831dc40cba412c" /><Relationship Type="http://schemas.openxmlformats.org/officeDocument/2006/relationships/sharedStrings" Target="/xl/sharedStrings.xml" Id="R2fadb6ffd9f24cff" /><Relationship Type="http://schemas.openxmlformats.org/officeDocument/2006/relationships/worksheet" Target="/xl/worksheets/sheet1.xml" Id="R2344a7e2c6074a0e" /><Relationship Type="http://schemas.openxmlformats.org/officeDocument/2006/relationships/worksheet" Target="/xl/worksheets/sheet2.xml" Id="R5dd24deda53f4706" /><Relationship Type="http://schemas.openxmlformats.org/officeDocument/2006/relationships/worksheet" Target="/xl/worksheets/sheet3.xml" Id="Rdcb621346d3242a7" /><Relationship Type="http://schemas.openxmlformats.org/officeDocument/2006/relationships/worksheet" Target="/xl/worksheets/sheet4.xml" Id="Rc436bcdae67d48ec" /><Relationship Type="http://schemas.openxmlformats.org/officeDocument/2006/relationships/worksheet" Target="/xl/worksheets/sheet5.xml" Id="Rec3ec4e7adae409a" /><Relationship Type="http://schemas.openxmlformats.org/officeDocument/2006/relationships/worksheet" Target="/xl/worksheets/sheet6.xml" Id="Re4e884bafe8f4ca5" /><Relationship Type="http://schemas.openxmlformats.org/officeDocument/2006/relationships/worksheet" Target="/xl/worksheets/sheet7.xml" Id="R0467f593b0b74cc8" /></Relationships>
</file>

<file path=xl/tables/table1.xml><?xml version="1.0" encoding="utf-8"?>
<x:table xmlns:x="http://schemas.openxmlformats.org/spreadsheetml/2006/main" id="1" name="AtlasTable2" displayName="AtlasTable2" ref="A6:X47" headerRowCount="1" totalsRowCount="0" totalsRowShown="0">
  <x:autoFilter ref="A6:X47"/>
  <x:tableColumns count="24">
    <x:tableColumn id="1" name="曲线ID"/>
    <x:tableColumn id="2" name="构型"/>
    <x:tableColumn id="3" name="求解方式"/>
    <x:tableColumn id="4" name="T (ms)"/>
    <x:tableColumn id="5" name="厚度 (mm)"/>
    <x:tableColumn id="6" name="N"/>
    <x:tableColumn id="7" name="单元"/>
    <x:tableColumn id="8" name="积分点数"/>
    <x:tableColumn id="9" name="占据"/>
    <x:tableColumn id="10" name="界面宽 (mm)"/>
    <x:tableColumn id="11" name="材料核"/>
    <x:tableColumn id="12" name="记录起点 (%)"/>
    <x:tableColumn id="13" name="记录末点 (%)"/>
    <x:tableColumn id="14" name="加载最大力位置 (%)"/>
    <x:tableColumn id="15" name="加载最大力 (N)"/>
    <x:tableColumn id="16" name="内部峰有后续降载"/>
    <x:tableColumn id="17" name="加载末点力 (N)"/>
    <x:tableColumn id="18" name="保载均力 (N)"/>
    <x:tableColumn id="19" name="覆盖/停止状态"/>
    <x:tableColumn id="20" name="记录用途"/>
    <x:tableColumn id="21" name="原失败检查"/>
    <x:tableColumn id="22" name="主体性能计时 (min)"/>
    <x:tableColumn id="23" name="说明"/>
    <x:tableColumn id="24" name="原数据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tlasTable3" displayName="AtlasTable3" ref="A6:U137" headerRowCount="1" totalsRowCount="0" totalsRowShown="0">
  <x:autoFilter ref="A6:U137"/>
  <x:tableColumns count="21">
    <x:tableColumn id="1" name="曲线ID"/>
    <x:tableColumn id="2" name="构型"/>
    <x:tableColumn id="3" name="参考ID"/>
    <x:tableColumn id="4" name="窗口"/>
    <x:tableColumn id="5" name="起点 (%)"/>
    <x:tableColumn id="6" name="末点 (%)"/>
    <x:tableColumn id="7" name="同T"/>
    <x:tableColumn id="8" name="同厚度"/>
    <x:tableColumn id="9" name="本T (ms)"/>
    <x:tableColumn id="10" name="参考T (ms)"/>
    <x:tableColumn id="11" name="RMS力差 (N)"/>
    <x:tableColumn id="12" name="参考完整加载最大力 (N)"/>
    <x:tableColumn id="13" name="RMS/参考最大力 (%)"/>
    <x:tableColumn id="14" name="RMS/旧分母 (%)"/>
    <x:tableColumn id="15" name="本功 (N mm)"/>
    <x:tableColumn id="16" name="参考功 (N mm)"/>
    <x:tableColumn id="17" name="相对功差 (%)"/>
    <x:tableColumn id="18" name="窗口末力 (N)"/>
    <x:tableColumn id="19" name="参考末力 (N)"/>
    <x:tableColumn id="20" name="末点相对力差 (%)"/>
    <x:tableColumn id="21" name="范围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tlasTable4" displayName="AtlasTable4" ref="A6:K206" headerRowCount="1" totalsRowCount="0" totalsRowShown="0">
  <x:autoFilter ref="A6:K206"/>
  <x:tableColumns count="11">
    <x:tableColumn id="1" name="曲线ID"/>
    <x:tableColumn id="2" name="构型"/>
    <x:tableColumn id="3" name="参考ID"/>
    <x:tableColumn id="4" name="压缩量 (%)"/>
    <x:tableColumn id="5" name="本力 (N)"/>
    <x:tableColumn id="6" name="参考力 (N)"/>
    <x:tableColumn id="7" name="差值 (N)"/>
    <x:tableColumn id="8" name="定点相对力差 (%)"/>
    <x:tableColumn id="9" name="差值/参考加载最大力 (%)"/>
    <x:tableColumn id="10" name="同T"/>
    <x:tableColumn id="11" name="数据类型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tlasTable5" displayName="AtlasTable5" ref="A6:M23" headerRowCount="1" totalsRowCount="0" totalsRowShown="0">
  <x:autoFilter ref="A6:M23"/>
  <x:tableColumns count="13">
    <x:tableColumn id="1" name="曲线ID"/>
    <x:tableColumn id="2" name="构型"/>
    <x:tableColumn id="3" name="参考ID"/>
    <x:tableColumn id="4" name="同T"/>
    <x:tableColumn id="5" name="同厚度"/>
    <x:tableColumn id="6" name="两者均观察内部峰"/>
    <x:tableColumn id="7" name="峰位差 (百分点)"/>
    <x:tableColumn id="8" name="峰力相对差 (%)"/>
    <x:tableColumn id="9" name="本保载均力 (N)"/>
    <x:tableColumn id="10" name="参考保载均力 (N)"/>
    <x:tableColumn id="11" name="保载均力相对差 (%)"/>
    <x:tableColumn id="12" name="保载比较范围"/>
    <x:tableColumn id="13" name="本覆盖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tlasTable6" displayName="AtlasTable6" ref="A6:T28" headerRowCount="1" totalsRowCount="0" totalsRowShown="0">
  <x:autoFilter ref="A6:T28"/>
  <x:tableColumns count="20">
    <x:tableColumn id="1" name="点ID"/>
    <x:tableColumn id="2" name="构型"/>
    <x:tableColumn id="3" name="条件"/>
    <x:tableColumn id="4" name="N"/>
    <x:tableColumn id="5" name="单元"/>
    <x:tableColumn id="6" name="积分规则"/>
    <x:tableColumn id="7" name="厚度 (mm)"/>
    <x:tableColumn id="8" name="界面宽 (mm)"/>
    <x:tableColumn id="9" name="占据"/>
    <x:tableColumn id="10" name="压缩量 (%)"/>
    <x:tableColumn id="11" name="本力 (N)"/>
    <x:tableColumn id="12" name="K/割线K (N/mm)"/>
    <x:tableColumn id="13" name="匹配壳K (N/mm)"/>
    <x:tableColumn id="14" name="匹配壳力 (N)"/>
    <x:tableColumn id="15" name="相对壳 (%)"/>
    <x:tableColumn id="16" name="边界"/>
    <x:tableColumn id="17" name="状态"/>
    <x:tableColumn id="18" name="范围"/>
    <x:tableColumn id="19" name="本来源"/>
    <x:tableColumn id="20" name="参考来源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tlasTable7" displayName="AtlasTable7" ref="A6:C53" headerRowCount="1" totalsRowCount="0" totalsRowShown="0">
  <x:autoFilter ref="A6:C53"/>
  <x:tableColumns count="3">
    <x:tableColumn id="1" name="来源"/>
    <x:tableColumn id="2" name="原ID"/>
    <x:tableColumn id="3" name="保留原因/不能画为独立路径的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f149b4ce5040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a9884c573f42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119cb79f12847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a2125a7b9147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a164187281044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47499c16aae4f9b" /></Relationships>
</file>

<file path=xl/worksheets/sheet1.xml><?xml version="1.0" encoding="utf-8"?>
<x:worksheet xmlns:x="http://schemas.openxmlformats.org/spreadsheetml/2006/main">
  <x:sheetPr>
    <x:tabColor rgb="FF334C67"/>
  </x:sheetPr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12" hidden="0" customWidth="1"/>
    <x:col min="4" max="4" width="20" hidden="0" customWidth="1"/>
    <x:col min="5" max="5" width="20" hidden="0" customWidth="1"/>
    <x:col min="6" max="6" width="24" hidden="0" customWidth="1"/>
    <x:col min="7" max="7" width="22" hidden="0" customWidth="1"/>
    <x:col min="8" max="8" width="48" hidden="0" customWidth="1"/>
  </x:cols>
  <x:sheetData>
    <x:row r="2">
      <x:c r="A2" s="1" t="str">
        <x:v>TPMS历史模拟：加载时长与峰位</x:v>
      </x:c>
    </x:row>
    <x:row r="4">
      <x:c r="A4" t="str">
        <x:v>旧固定分母 (N)</x:v>
      </x:c>
      <x:c r="B4" s="2" t="n">
        <x:v>2.2589142322540283</x:v>
      </x:c>
    </x:row>
    <x:row r="6" ht="40" customHeight="1">
      <x:c r="A6" s="15" t="str">
        <x:v>曲线ID</x:v>
      </x:c>
      <x:c r="B6" s="15" t="str">
        <x:v>构型</x:v>
      </x:c>
      <x:c r="C6" s="15" t="str">
        <x:v>T (ms)</x:v>
      </x:c>
      <x:c r="D6" s="15" t="str">
        <x:v>最大力位置 (%)</x:v>
      </x:c>
      <x:c r="E6" s="15" t="str">
        <x:v>加载最大力 (N)</x:v>
      </x:c>
      <x:c r="F6" s="15" t="str">
        <x:v>对40ms峰位差 (百分点)</x:v>
      </x:c>
      <x:c r="G6" s="15" t="str">
        <x:v>对40ms峰力差 (%)</x:v>
      </x:c>
      <x:c r="H6" s="15" t="str">
        <x:v>原筛查范围</x:v>
      </x:c>
    </x:row>
    <x:row r="7" ht="27" customHeight="1">
      <x:c r="A7" s="3" t="str">
        <x:v>04-S40</x:v>
      </x:c>
      <x:c r="B7" s="3" t="str">
        <x:v>diverse_04</x:v>
      </x:c>
      <x:c r="C7" s="16" t="n">
        <x:v>40</x:v>
      </x:c>
      <x:c r="D7" s="16" t="n">
        <x:f>'曲线条件'!N11</x:f>
        <x:v>11.416069269180298</x:v>
      </x:c>
      <x:c r="E7" s="16" t="n">
        <x:f>'曲线条件'!O11</x:f>
        <x:v>5.098315715789795</x:v>
      </x:c>
      <x:c r="F7" s="16" t="n">
        <x:f>D7-'曲线条件'!N11</x:f>
        <x:v>0</x:v>
      </x:c>
      <x:c r="G7" s="17" t="n">
        <x:f>E7/'曲线条件'!O11-1</x:f>
        <x:v>0</x:v>
      </x:c>
      <x:c r="H7" s="3" t="str">
        <x:v>原能量/惯性等有失败，详见曲线条件</x:v>
      </x:c>
    </x:row>
    <x:row r="8" ht="27" customHeight="1">
      <x:c r="A8" s="3" t="str">
        <x:v>04-S4</x:v>
      </x:c>
      <x:c r="B8" s="3" t="str">
        <x:v>diverse_04</x:v>
      </x:c>
      <x:c r="C8" s="16" t="n">
        <x:v>4</x:v>
      </x:c>
      <x:c r="D8" s="16" t="n">
        <x:f>'曲线条件'!N33</x:f>
        <x:v>11.82407021522522</x:v>
      </x:c>
      <x:c r="E8" s="16" t="n">
        <x:f>'曲线条件'!O33</x:f>
        <x:v>5.229988098144531</x:v>
      </x:c>
      <x:c r="F8" s="16" t="n">
        <x:f>D8-'曲线条件'!N11</x:f>
        <x:v>0.4080009460449219</x:v>
      </x:c>
      <x:c r="G8" s="17" t="n">
        <x:f>E8/'曲线条件'!O11-1</x:f>
        <x:v>0.02582664348285424</x:v>
      </x:c>
      <x:c r="H8" s="3" t="str">
        <x:v>原能量/惯性等有失败，详见曲线条件</x:v>
      </x:c>
    </x:row>
    <x:row r="9" ht="27" customHeight="1">
      <x:c r="A9" s="3" t="str">
        <x:v>04-S2</x:v>
      </x:c>
      <x:c r="B9" s="3" t="str">
        <x:v>diverse_04</x:v>
      </x:c>
      <x:c r="C9" s="16" t="n">
        <x:v>2</x:v>
      </x:c>
      <x:c r="D9" s="16" t="n">
        <x:f>'曲线条件'!N29</x:f>
        <x:v>12.190046310424805</x:v>
      </x:c>
      <x:c r="E9" s="16" t="n">
        <x:f>'曲线条件'!O29</x:f>
        <x:v>5.340913772583008</x:v>
      </x:c>
      <x:c r="F9" s="16" t="n">
        <x:f>D9-'曲线条件'!N11</x:f>
        <x:v>0.7739770412445068</x:v>
      </x:c>
      <x:c r="G9" s="17" t="n">
        <x:f>E9/'曲线条件'!O11-1</x:f>
        <x:v>0.04758396111913421</x:v>
      </x:c>
      <x:c r="H9" s="3" t="str">
        <x:v>原能量/惯性等有失败，详见曲线条件</x:v>
      </x:c>
    </x:row>
    <x:row r="10" ht="27" customHeight="1">
      <x:c r="A10" s="3" t="str">
        <x:v>04-S1</x:v>
      </x:c>
      <x:c r="B10" s="3" t="str">
        <x:v>diverse_04</x:v>
      </x:c>
      <x:c r="C10" s="16" t="n">
        <x:v>1</x:v>
      </x:c>
      <x:c r="D10" s="16" t="n">
        <x:f>'曲线条件'!N9</x:f>
        <x:v>12.786719799041748</x:v>
      </x:c>
      <x:c r="E10" s="16" t="n">
        <x:f>'曲线条件'!O9</x:f>
        <x:v>5.4987382888793945</x:v>
      </x:c>
      <x:c r="F10" s="16" t="n">
        <x:f>D10-'曲线条件'!N11</x:f>
        <x:v>1.3706505298614502</x:v>
      </x:c>
      <x:c r="G10" s="17" t="n">
        <x:f>E10/'曲线条件'!O11-1</x:f>
        <x:v>0.07854016804990449</x:v>
      </x:c>
      <x:c r="H10" s="3" t="str">
        <x:v>原能量/惯性等有失败，详见曲线条件</x:v>
      </x:c>
    </x:row>
    <x:row r="11" ht="27" customHeight="1">
      <x:c r="A11" s="3" t="str">
        <x:v>04-S025</x:v>
      </x:c>
      <x:c r="B11" s="3" t="str">
        <x:v>diverse_04</x:v>
      </x:c>
      <x:c r="C11" s="16" t="n">
        <x:v>0.25</x:v>
      </x:c>
      <x:c r="D11" s="16" t="n">
        <x:f>'曲线条件'!N8</x:f>
        <x:v>5.470081567764282</x:v>
      </x:c>
      <x:c r="E11" s="16" t="n">
        <x:f>'曲线条件'!O8</x:f>
        <x:v>4.8698296546936035</x:v>
      </x:c>
      <x:c r="F11" s="16" t="n">
        <x:f>D11-'曲线条件'!N11</x:f>
        <x:v>-5.945987701416016</x:v>
      </x:c>
      <x:c r="G11" s="17" t="n">
        <x:f>E11/'曲线条件'!O11-1</x:f>
        <x:v>-0.044815989011538826</x:v>
      </x:c>
      <x:c r="H11" s="3" t="str">
        <x:v>原能量/惯性等有失败，详见曲线条件</x:v>
      </x:c>
    </x:row>
    <x:row r="12" ht="27" customHeight="1">
      <x:c r="A12" s="3" t="str">
        <x:v>28-S40</x:v>
      </x:c>
      <x:c r="B12" s="3" t="str">
        <x:v>diverse_28</x:v>
      </x:c>
      <x:c r="C12" s="16" t="n">
        <x:v>40</x:v>
      </x:c>
      <x:c r="D12" s="16" t="n">
        <x:f>'曲线条件'!N16</x:f>
        <x:v>10.55477261543274</x:v>
      </x:c>
      <x:c r="E12" s="16" t="n">
        <x:f>'曲线条件'!O16</x:f>
        <x:v>2.243082284927368</x:v>
      </x:c>
      <x:c r="F12" s="16" t="n">
        <x:f>D12-'曲线条件'!N16</x:f>
        <x:v>0</x:v>
      </x:c>
      <x:c r="G12" s="17" t="n">
        <x:f>E12/'曲线条件'!O16-1</x:f>
        <x:v>0</x:v>
      </x:c>
      <x:c r="H12" s="3" t="str">
        <x:v>原能量/惯性等有失败，详见曲线条件</x:v>
      </x:c>
    </x:row>
    <x:row r="13" ht="27" customHeight="1">
      <x:c r="A13" s="3" t="str">
        <x:v>28-S20</x:v>
      </x:c>
      <x:c r="B13" s="3" t="str">
        <x:v>diverse_28</x:v>
      </x:c>
      <x:c r="C13" s="16" t="n">
        <x:v>20</x:v>
      </x:c>
      <x:c r="D13" s="16" t="n">
        <x:f>'曲线条件'!N15</x:f>
        <x:v>10.513772964477539</x:v>
      </x:c>
      <x:c r="E13" s="16" t="n">
        <x:f>'曲线条件'!O15</x:f>
        <x:v>2.24279522895813</x:v>
      </x:c>
      <x:c r="F13" s="16" t="n">
        <x:f>D13-'曲线条件'!N16</x:f>
        <x:v>-0.040999650955200195</x:v>
      </x:c>
      <x:c r="G13" s="17" t="n">
        <x:f>E13/'曲线条件'!O16-1</x:f>
        <x:v>-0.0001279738916254436</x:v>
      </x:c>
      <x:c r="H13" s="3" t="str">
        <x:v>原能量/惯性等有失败，详见曲线条件</x:v>
      </x:c>
    </x:row>
    <x:row r="17" ht="26" customHeight="1">
      <x:c r="A17" s="19" t="str">
        <x:v>数据范围</x:v>
      </x:c>
      <x:c r="B17" s="18" t="str">
        <x:v>只汇总已有diverse_04/28记录；41份去重曲线/短段、22个静力点。没有新增仿真。</x:v>
      </x:c>
    </x:row>
    <x:row r="18" ht="26" customHeight="1">
      <x:c r="A18" s="19" t="str">
        <x:v>T的含义</x:v>
      </x:c>
      <x:c r="B18" s="18" t="str">
        <x:v>Explicit中T是20%幅值smoothstep的加载时长，单位ms。Standard步时间是伪时间。</x:v>
      </x:c>
    </x:row>
    <x:row r="19" ht="26" customHeight="1">
      <x:c r="A19" s="19" t="str">
        <x:v>最大力与峰</x:v>
      </x:c>
      <x:c r="B19" s="18" t="str">
        <x:v>加载最大力按已保存加载记录取最大；末端仍增载时，不能声称已捕获峰。</x:v>
      </x:c>
    </x:row>
    <x:row r="20" ht="26" customHeight="1">
      <x:c r="A20" s="19" t="str">
        <x:v>压缩与反力</x:v>
      </x:c>
      <x:c r="B20" s="18" t="str">
        <x:v>宏观压缩量为轴向缩短/10mm；反力以压缩为正，保留真实负向振荡。</x:v>
      </x:c>
    </x:row>
    <x:row r="21" ht="26" customHeight="1">
      <x:c r="A21" s="19" t="str">
        <x:v>RMS误差</x:v>
      </x:c>
      <x:c r="B21" s="18" t="str">
        <x:v>共同窗口均匀2001点的反力差均方根，单位N；再除参考完整加载最大力。</x:v>
      </x:c>
    </x:row>
    <x:row r="22" ht="26" customHeight="1">
      <x:c r="A22" s="19" t="str">
        <x:v>两种分母</x:v>
      </x:c>
      <x:c r="B22" s="18" t="str">
        <x:v>保留原固定2.258914N分母；另列各参考完整加载最大力。不能混用百分比。</x:v>
      </x:c>
    </x:row>
    <x:row r="23" ht="26" customHeight="1">
      <x:c r="A23" s="19" t="str">
        <x:v>功差</x:v>
      </x:c>
      <x:c r="B23" s="18" t="str">
        <x:v>功=10mm×∫反力d压缩量；原节点及边界插值积分。与参考在同覆盖窗口比较。</x:v>
      </x:c>
    </x:row>
    <x:row r="24" ht="26" customHeight="1">
      <x:c r="A24" s="19" t="str">
        <x:v>定点力差</x:v>
      </x:c>
      <x:c r="B24" s="18" t="str">
        <x:v>(本次力/参考力−1)；参考力很小时可很大，不能替代曲线RMS。</x:v>
      </x:c>
    </x:row>
    <x:row r="25" ht="26" customHeight="1">
      <x:c r="A25" s="19" t="str">
        <x:v>保载均力</x:v>
      </x:c>
      <x:c r="B25" s="18" t="str">
        <x:v>各实际保载时窗的时间积分均值。不同T的保载时间也不同，不直接归因网格。</x:v>
      </x:c>
    </x:row>
    <x:row r="26" ht="26" customHeight="1">
      <x:c r="A26" s="19" t="str">
        <x:v>范围缺口</x:v>
      </x:c>
      <x:c r="B26" s="18" t="str">
        <x:v>未覆盖记n.a.；不把拒绝态、预算前缀、局部重放拼成完整路径。</x:v>
      </x:c>
    </x:row>
    <x:row r="27" ht="26" customHeight="1">
      <x:c r="A27" s="19" t="str">
        <x:v>静力K</x:v>
      </x:c>
      <x:c r="B27" s="18" t="str">
        <x:v>K=反力/轴向位移，单位N/mm；初始压缩0.01%对应0.001mm，无惯性。</x:v>
      </x:c>
    </x:row>
    <x:row r="28" ht="26" customHeight="1">
      <x:c r="A28" s="19" t="str">
        <x:v>表格用途</x:v>
      </x:c>
      <x:c r="B28" s="18" t="str">
        <x:v>统一回顾指标，不覆盖原验收判据。约10%是工作目标，原失败检查仍保留。</x:v>
      </x:c>
    </x:row>
    <x:row r="29" ht="26" customHeight="1">
      <x:c r="A29" s="19" t="str">
        <x:v>重新计算</x:v>
      </x:c>
      <x:c r="B29" s="18" t="str">
        <x:v>复杂积分/RMS在只读Python中计算；表内比值公式随输入值更新，不调用求解器。</x:v>
      </x:c>
    </x:row>
    <x:row r="30" ht="26" customHeight="1">
      <x:c r="A30" s="19" t="str">
        <x:v>共同物理量</x:v>
      </x:c>
      <x:c r="B30" s="18" t="str">
        <x:v>L10mm、E10MPa、ν0.3、实体密度10⁻⁹ tonne/mm³；背景η10⁻⁴，XYZ横向宏观应变0。</x:v>
      </x:c>
    </x:row>
    <x:row r="31" ht="26" customHeight="1">
      <x:c r="A31" s="19" t="str">
        <x:v>历史例外</x:v>
      </x:c>
      <x:c r="B31" s="18" t="str">
        <x:v>旧平端诊断、厚度扰动、填料嵌入、准备探针与局部重放已分别注明，不能混作生产结果。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0" hidden="0" customWidth="1"/>
    <x:col min="4" max="4" width="12" hidden="0" customWidth="1"/>
    <x:col min="5" max="5" width="12" hidden="0" customWidth="1"/>
    <x:col min="6" max="6" width="8" hidden="0" customWidth="1"/>
    <x:col min="7" max="7" width="18" hidden="0" customWidth="1"/>
    <x:col min="8" max="8" width="12" hidden="0" customWidth="1"/>
    <x:col min="9" max="9" width="12" hidden="0" customWidth="1"/>
    <x:col min="10" max="10" width="13" hidden="0" customWidth="1"/>
    <x:col min="11" max="11" width="15" hidden="0" customWidth="1"/>
    <x:col min="12" max="12" width="15" hidden="0" customWidth="1"/>
    <x:col min="13" max="13" width="15" hidden="0" customWidth="1"/>
    <x:col min="14" max="14" width="20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24" hidden="0" customWidth="1"/>
    <x:col min="20" max="20" width="20" hidden="0" customWidth="1"/>
    <x:col min="21" max="21" width="60" hidden="0" customWidth="1"/>
    <x:col min="22" max="22" width="22" hidden="0" customWidth="1"/>
    <x:col min="23" max="23" width="70" hidden="0" customWidth="1"/>
    <x:col min="24" max="24" width="100" hidden="0" customWidth="1"/>
  </x:cols>
  <x:sheetData>
    <x:row r="2">
      <x:c r="A2" s="1" t="str">
        <x:v>全部有效曲线和短段的原条件</x:v>
      </x:c>
    </x:row>
    <x:row r="6" ht="40" customHeight="1">
      <x:c r="A6" s="8" t="str">
        <x:v>曲线ID</x:v>
      </x:c>
      <x:c r="B6" s="8" t="str">
        <x:v>构型</x:v>
      </x:c>
      <x:c r="C6" s="8" t="str">
        <x:v>求解方式</x:v>
      </x:c>
      <x:c r="D6" s="8" t="str">
        <x:v>T (ms)</x:v>
      </x:c>
      <x:c r="E6" s="8" t="str">
        <x:v>厚度 (mm)</x:v>
      </x:c>
      <x:c r="F6" s="8" t="str">
        <x:v>N</x:v>
      </x:c>
      <x:c r="G6" s="8" t="str">
        <x:v>单元</x:v>
      </x:c>
      <x:c r="H6" s="8" t="str">
        <x:v>积分点数</x:v>
      </x:c>
      <x:c r="I6" s="8" t="str">
        <x:v>占据</x:v>
      </x:c>
      <x:c r="J6" s="8" t="str">
        <x:v>界面宽 (mm)</x:v>
      </x:c>
      <x:c r="K6" s="8" t="str">
        <x:v>材料核</x:v>
      </x:c>
      <x:c r="L6" s="8" t="str">
        <x:v>记录起点 (%)</x:v>
      </x:c>
      <x:c r="M6" s="8" t="str">
        <x:v>记录末点 (%)</x:v>
      </x:c>
      <x:c r="N6" s="8" t="str">
        <x:v>加载最大力位置 (%)</x:v>
      </x:c>
      <x:c r="O6" s="8" t="str">
        <x:v>加载最大力 (N)</x:v>
      </x:c>
      <x:c r="P6" s="8" t="str">
        <x:v>内部峰有后续降载</x:v>
      </x:c>
      <x:c r="Q6" s="8" t="str">
        <x:v>加载末点力 (N)</x:v>
      </x:c>
      <x:c r="R6" s="8" t="str">
        <x:v>保载均力 (N)</x:v>
      </x:c>
      <x:c r="S6" s="8" t="str">
        <x:v>覆盖/停止状态</x:v>
      </x:c>
      <x:c r="T6" s="8" t="str">
        <x:v>记录用途</x:v>
      </x:c>
      <x:c r="U6" s="8" t="str">
        <x:v>原失败检查</x:v>
      </x:c>
      <x:c r="V6" s="8" t="str">
        <x:v>主体性能计时 (min)</x:v>
      </x:c>
      <x:c r="W6" s="8" t="str">
        <x:v>说明</x:v>
      </x:c>
      <x:c r="X6" s="8" t="str">
        <x:v>原数据来源</x:v>
      </x:c>
    </x:row>
    <x:row r="7" ht="25" customHeight="1">
      <x:c r="A7" s="4" t="str">
        <x:v>04-B32</x:v>
      </x:c>
      <x:c r="B7" s="4" t="str">
        <x:v>diverse_04</x:v>
      </x:c>
      <x:c r="C7" s="4" t="str">
        <x:v>JAX/Explicit</x:v>
      </x:c>
      <x:c r="D7" s="9" t="n">
        <x:v>4</x:v>
      </x:c>
      <x:c r="E7" s="9" t="n">
        <x:v>0.5</x:v>
      </x:c>
      <x:c r="F7" s="4" t="n">
        <x:v>32</x:v>
      </x:c>
      <x:c r="G7" s="4" t="str">
        <x:v>HEX27</x:v>
      </x:c>
      <x:c r="H7" s="4" t="n">
        <x:v>27</x:v>
      </x:c>
      <x:c r="I7" s="4" t="str">
        <x:v>二值</x:v>
      </x:c>
      <x:c r="J7" s="10" t="n">
        <x:v>0</x:v>
      </x:c>
      <x:c r="K7" s="10" t="str">
        <x:v>C²</x:v>
      </x:c>
      <x:c r="L7" s="10" t="n">
        <x:v>0</x:v>
      </x:c>
      <x:c r="M7" s="10" t="n">
        <x:v>20</x:v>
      </x:c>
      <x:c r="N7" s="10" t="n">
        <x:v>15.238701643777103</x:v>
      </x:c>
      <x:c r="O7" s="10" t="n">
        <x:v>6.5638696609580505</x:v>
      </x:c>
      <x:c r="P7" s="4" t="str">
        <x:v>已观察</x:v>
      </x:c>
      <x:c r="Q7" s="10" t="n">
        <x:v>2.5392151114903108</x:v>
      </x:c>
      <x:c r="R7" s="10" t="n">
        <x:v>1.9515671308843021</x:v>
      </x:c>
      <x:c r="S7" s="4" t="str">
        <x:v>完整20%+保载</x:v>
      </x:c>
      <x:c r="T7" s="4" t="str">
        <x:v>主路径</x:v>
      </x:c>
      <x:c r="U7" s="4" t="str"/>
      <x:c r="V7" s="11" t="str">
        <x:v>n.a.</x:v>
      </x:c>
      <x:c r="W7" s="4" t="str">
        <x:v>二值；原预算检查点精确接续，完整20%+保载</x:v>
      </x:c>
      <x:c r="X7" s="4" t="str">
        <x:v>/home/xuehu/projects/tpms_jax/validation/binary_full20_20261008_r44/continuation_from_budget/accepted_path.json</x:v>
      </x:c>
    </x:row>
    <x:row r="8" ht="25" customHeight="1">
      <x:c r="A8" s="4" t="str">
        <x:v>04-S025</x:v>
      </x:c>
      <x:c r="B8" s="4" t="str">
        <x:v>diverse_04</x:v>
      </x:c>
      <x:c r="C8" s="4" t="str">
        <x:v>Abaqus/Explicit</x:v>
      </x:c>
      <x:c r="D8" s="9" t="n">
        <x:v>0.25</x:v>
      </x:c>
      <x:c r="E8" s="9" t="n">
        <x:v>0.5</x:v>
      </x:c>
      <x:c r="F8" s="4" t="str">
        <x:v>n.a.</x:v>
      </x:c>
      <x:c r="G8" s="4" t="str">
        <x:v>S3R</x:v>
      </x:c>
      <x:c r="H8" s="4" t="n">
        <x:v>5</x:v>
      </x:c>
      <x:c r="I8" s="4" t="str">
        <x:v>中面壳</x:v>
      </x:c>
      <x:c r="J8" s="10" t="str">
        <x:v>n.a.</x:v>
      </x:c>
      <x:c r="K8" s="10" t="str">
        <x:v>NH壳</x:v>
      </x:c>
      <x:c r="L8" s="10" t="n">
        <x:v>0</x:v>
      </x:c>
      <x:c r="M8" s="10" t="n">
        <x:v>20</x:v>
      </x:c>
      <x:c r="N8" s="10" t="n">
        <x:v>5.470081567764282</x:v>
      </x:c>
      <x:c r="O8" s="10" t="n">
        <x:v>4.8698296546936035</x:v>
      </x:c>
      <x:c r="P8" s="4" t="str">
        <x:v>已观察</x:v>
      </x:c>
      <x:c r="Q8" s="10" t="n">
        <x:v>-1.5651608184876273</x:v>
      </x:c>
      <x:c r="R8" s="10" t="n">
        <x:v>0.018119655244070852</x:v>
      </x:c>
      <x:c r="S8" s="4" t="str">
        <x:v>完整20%+保载</x:v>
      </x:c>
      <x:c r="T8" s="4" t="str">
        <x:v>壳速率</x:v>
      </x:c>
      <x:c r="U8" s="4" t="str">
        <x:v>global_energy_drift_le_1pct; most_loading_time_KE_below_5pct; terminal_KE_below_5pct; artificial_energy_le_5pct_work</x:v>
      </x:c>
      <x:c r="V8" s="11" t="str">
        <x:v>n.a.</x:v>
      </x:c>
      <x:c r="W8" s="4" t="str">
        <x:v>T0.25ms；原能量/惯性/人工能筛查未过</x:v>
      </x:c>
      <x:c r="X8" s="4" t="str">
        <x:v>/home/xuehu/projects/tpms_jax/validation/binary_n64_20261009_r45/abaqus/explicit_T0p000250/results/shell.json</x:v>
      </x:c>
    </x:row>
    <x:row r="9" ht="25" customHeight="1">
      <x:c r="A9" s="4" t="str">
        <x:v>04-S1</x:v>
      </x:c>
      <x:c r="B9" s="4" t="str">
        <x:v>diverse_04</x:v>
      </x:c>
      <x:c r="C9" s="4" t="str">
        <x:v>Abaqus/Explicit</x:v>
      </x:c>
      <x:c r="D9" s="9" t="n">
        <x:v>1</x:v>
      </x:c>
      <x:c r="E9" s="9" t="n">
        <x:v>0.5</x:v>
      </x:c>
      <x:c r="F9" s="4" t="str">
        <x:v>n.a.</x:v>
      </x:c>
      <x:c r="G9" s="4" t="str">
        <x:v>S3R</x:v>
      </x:c>
      <x:c r="H9" s="4" t="n">
        <x:v>5</x:v>
      </x:c>
      <x:c r="I9" s="4" t="str">
        <x:v>中面壳</x:v>
      </x:c>
      <x:c r="J9" s="10" t="str">
        <x:v>n.a.</x:v>
      </x:c>
      <x:c r="K9" s="10" t="str">
        <x:v>NH壳</x:v>
      </x:c>
      <x:c r="L9" s="10" t="n">
        <x:v>0</x:v>
      </x:c>
      <x:c r="M9" s="10" t="n">
        <x:v>20</x:v>
      </x:c>
      <x:c r="N9" s="10" t="n">
        <x:v>12.786719799041748</x:v>
      </x:c>
      <x:c r="O9" s="10" t="n">
        <x:v>5.4987382888793945</x:v>
      </x:c>
      <x:c r="P9" s="4" t="str">
        <x:v>已观察</x:v>
      </x:c>
      <x:c r="Q9" s="10" t="n">
        <x:v>1.8893079056504702</x:v>
      </x:c>
      <x:c r="R9" s="10" t="n">
        <x:v>1.5200284496988141</x:v>
      </x:c>
      <x:c r="S9" s="4" t="str">
        <x:v>完整20%+保载</x:v>
      </x:c>
      <x:c r="T9" s="4" t="str">
        <x:v>壳速率</x:v>
      </x:c>
      <x:c r="U9" s="4" t="str">
        <x:v>global_energy_drift_le_1pct; most_loading_time_KE_below_5pct; terminal_KE_below_5pct; artificial_energy_le_5pct_work</x:v>
      </x:c>
      <x:c r="V9" s="11" t="str">
        <x:v>n.a.</x:v>
      </x:c>
      <x:c r="W9" s="4" t="str">
        <x:v>T1ms；原能量/惯性/人工能筛查未过</x:v>
      </x:c>
      <x:c r="X9" s="4" t="str">
        <x:v>/home/xuehu/projects/tpms_jax/validation/binary_n64_20261009_r45/abaqus/explicit_T0p001000/results/shell.json</x:v>
      </x:c>
    </x:row>
    <x:row r="10" ht="25" customHeight="1">
      <x:c r="A10" s="4" t="str">
        <x:v>04-B64</x:v>
      </x:c>
      <x:c r="B10" s="4" t="str">
        <x:v>diverse_04</x:v>
      </x:c>
      <x:c r="C10" s="4" t="str">
        <x:v>JAX/Explicit</x:v>
      </x:c>
      <x:c r="D10" s="9" t="n">
        <x:v>1</x:v>
      </x:c>
      <x:c r="E10" s="9" t="n">
        <x:v>0.5</x:v>
      </x:c>
      <x:c r="F10" s="4" t="n">
        <x:v>64</x:v>
      </x:c>
      <x:c r="G10" s="4" t="str">
        <x:v>HEX27</x:v>
      </x:c>
      <x:c r="H10" s="4" t="n">
        <x:v>27</x:v>
      </x:c>
      <x:c r="I10" s="4" t="str">
        <x:v>二值</x:v>
      </x:c>
      <x:c r="J10" s="10" t="n">
        <x:v>0</x:v>
      </x:c>
      <x:c r="K10" s="10" t="str">
        <x:v>C²</x:v>
      </x:c>
      <x:c r="L10" s="10" t="n">
        <x:v>0</x:v>
      </x:c>
      <x:c r="M10" s="10" t="n">
        <x:v>13.587668519974091</x:v>
      </x:c>
      <x:c r="N10" s="10" t="n">
        <x:v>13.587668519974091</x:v>
      </x:c>
      <x:c r="O10" s="10" t="n">
        <x:v>6.123711452351463</x:v>
      </x:c>
      <x:c r="P10" s="4" t="str">
        <x:v>未观察</x:v>
      </x:c>
      <x:c r="Q10" s="10" t="n">
        <x:v>6.123711452351463</x:v>
      </x:c>
      <x:c r="R10" s="10" t="str">
        <x:v>n.a.</x:v>
      </x:c>
      <x:c r="S10" s="4" t="str">
        <x:v>预算停止</x:v>
      </x:c>
      <x:c r="T10" s="4" t="str">
        <x:v>主路径</x:v>
      </x:c>
      <x:c r="U10" s="4" t="str"/>
      <x:c r="V10" s="11" t="n">
        <x:v>92.78893550608191</x:v>
      </x:c>
      <x:c r="W10" s="4" t="str">
        <x:v>预算停止13.5877%，仍增载，无峰</x:v>
      </x:c>
      <x:c r="X10" s="4" t="str">
        <x:v>/home/xuehu/projects/tpms_jax/validation/binary_n64_20261009_r45/peak_N64/accepted_path.json</x:v>
      </x:c>
    </x:row>
    <x:row r="11" ht="25" customHeight="1">
      <x:c r="A11" s="4" t="str">
        <x:v>04-S40</x:v>
      </x:c>
      <x:c r="B11" s="4" t="str">
        <x:v>diverse_04</x:v>
      </x:c>
      <x:c r="C11" s="4" t="str">
        <x:v>Abaqus/Explicit</x:v>
      </x:c>
      <x:c r="D11" s="9" t="n">
        <x:v>40</x:v>
      </x:c>
      <x:c r="E11" s="9" t="n">
        <x:v>0.5</x:v>
      </x:c>
      <x:c r="F11" s="4" t="str">
        <x:v>n.a.</x:v>
      </x:c>
      <x:c r="G11" s="4" t="str">
        <x:v>S3R</x:v>
      </x:c>
      <x:c r="H11" s="4" t="n">
        <x:v>5</x:v>
      </x:c>
      <x:c r="I11" s="4" t="str">
        <x:v>中面壳</x:v>
      </x:c>
      <x:c r="J11" s="10" t="str">
        <x:v>n.a.</x:v>
      </x:c>
      <x:c r="K11" s="10" t="str">
        <x:v>NH壳</x:v>
      </x:c>
      <x:c r="L11" s="10" t="n">
        <x:v>0</x:v>
      </x:c>
      <x:c r="M11" s="10" t="n">
        <x:v>20</x:v>
      </x:c>
      <x:c r="N11" s="10" t="n">
        <x:v>11.416069269180298</x:v>
      </x:c>
      <x:c r="O11" s="10" t="n">
        <x:v>5.098315715789795</x:v>
      </x:c>
      <x:c r="P11" s="4" t="str">
        <x:v>已观察</x:v>
      </x:c>
      <x:c r="Q11" s="10" t="n">
        <x:v>1.6397884708452952</x:v>
      </x:c>
      <x:c r="R11" s="10" t="n">
        <x:v>1.6278995453625877</x:v>
      </x:c>
      <x:c r="S11" s="4" t="str">
        <x:v>完整20%+保载</x:v>
      </x:c>
      <x:c r="T11" s="4" t="str">
        <x:v>壳速率</x:v>
      </x:c>
      <x:c r="U11" s="4" t="str">
        <x:v>global_energy_drift_le_1pct; most_loading_time_KE_below_5pct; artificial_energy_le_5pct_work</x:v>
      </x:c>
      <x:c r="V11" s="11" t="str">
        <x:v>n.a.</x:v>
      </x:c>
      <x:c r="W11" s="4" t="str">
        <x:v>T40ms；保留原质量检查</x:v>
      </x:c>
      <x:c r="X11" s="4" t="str">
        <x:v>/home/xuehu/projects/tpms_jax/validation/geometry_transfer_20261006_r15/abaqus/explicit_T0p040/results/shell.json</x:v>
      </x:c>
    </x:row>
    <x:row r="12" ht="25" customHeight="1">
      <x:c r="A12" s="4" t="str">
        <x:v>04-J15</x:v>
      </x:c>
      <x:c r="B12" s="4" t="str">
        <x:v>diverse_04</x:v>
      </x:c>
      <x:c r="C12" s="4" t="str">
        <x:v>JAX/Explicit</x:v>
      </x:c>
      <x:c r="D12" s="9" t="n">
        <x:v>4</x:v>
      </x:c>
      <x:c r="E12" s="9" t="n">
        <x:v>0.5</x:v>
      </x:c>
      <x:c r="F12" s="4" t="n">
        <x:v>32</x:v>
      </x:c>
      <x:c r="G12" s="4" t="str">
        <x:v>HEX27</x:v>
      </x:c>
      <x:c r="H12" s="4" t="n">
        <x:v>27</x:v>
      </x:c>
      <x:c r="I12" s="4" t="str">
        <x:v>平滑</x:v>
      </x:c>
      <x:c r="J12" s="10" t="n">
        <x:v>0.05</x:v>
      </x:c>
      <x:c r="K12" s="10" t="str">
        <x:v>C²</x:v>
      </x:c>
      <x:c r="L12" s="10" t="n">
        <x:v>0.11205163835074688</x:v>
      </x:c>
      <x:c r="M12" s="10" t="n">
        <x:v>17.3166980159302</x:v>
      </x:c>
      <x:c r="N12" s="10" t="n">
        <x:v>15.966239917005407</x:v>
      </x:c>
      <x:c r="O12" s="10" t="n">
        <x:v>7.070239787769475</x:v>
      </x:c>
      <x:c r="P12" s="4" t="str">
        <x:v>未观察</x:v>
      </x:c>
      <x:c r="Q12" s="10" t="n">
        <x:v>1.6543058050474124</x:v>
      </x:c>
      <x:c r="R12" s="10" t="str">
        <x:v>n.a.</x:v>
      </x:c>
      <x:c r="S12" s="4" t="str">
        <x:v>稀疏接受日志，人工中止</x:v>
      </x:c>
      <x:c r="T12" s="4" t="str">
        <x:v>稀疏日志</x:v>
      </x:c>
      <x:c r="U12" s="4" t="str"/>
      <x:c r="V12" s="11" t="str">
        <x:v>n.a.</x:v>
      </x:c>
      <x:c r="W12" s="4" t="str">
        <x:v>仅14条已打印接受记录；不是完整接受历史；材料核按实际STEP2记录核对</x:v>
      </x:c>
      <x:c r="X12" s="4" t="str">
        <x:v>/home/xuehu/projects/tpms_jax/validation/geometry_transfer_20261006_r15/accepted_logged_observations.json</x:v>
      </x:c>
    </x:row>
    <x:row r="13" ht="25" customHeight="1">
      <x:c r="A13" s="4" t="str">
        <x:v>28-Q64</x:v>
      </x:c>
      <x:c r="B13" s="4" t="str">
        <x:v>diverse_28</x:v>
      </x:c>
      <x:c r="C13" s="4" t="str">
        <x:v>JAX/Explicit</x:v>
      </x:c>
      <x:c r="D13" s="9" t="n">
        <x:v>4</x:v>
      </x:c>
      <x:c r="E13" s="9" t="n">
        <x:v>0.5</x:v>
      </x:c>
      <x:c r="F13" s="4" t="n">
        <x:v>32</x:v>
      </x:c>
      <x:c r="G13" s="4" t="str">
        <x:v>HEX27</x:v>
      </x:c>
      <x:c r="H13" s="4" t="n">
        <x:v>64</x:v>
      </x:c>
      <x:c r="I13" s="4" t="str">
        <x:v>平滑</x:v>
      </x:c>
      <x:c r="J13" s="10" t="n">
        <x:v>0.05</x:v>
      </x:c>
      <x:c r="K13" s="10" t="str">
        <x:v>NH</x:v>
      </x:c>
      <x:c r="L13" s="10" t="n">
        <x:v>0</x:v>
      </x:c>
      <x:c r="M13" s="10" t="n">
        <x:v>19.99999999700836</x:v>
      </x:c>
      <x:c r="N13" s="10" t="n">
        <x:v>10.64106457601845</x:v>
      </x:c>
      <x:c r="O13" s="10" t="n">
        <x:v>2.456065849351407</x:v>
      </x:c>
      <x:c r="P13" s="4" t="str">
        <x:v>已观察</x:v>
      </x:c>
      <x:c r="Q13" s="10" t="n">
        <x:v>2.0734647274991014</x:v>
      </x:c>
      <x:c r="R13" s="10" t="n">
        <x:v>2.075023270781206</x:v>
      </x:c>
      <x:c r="S13" s="4" t="str">
        <x:v>完整20%+保载</x:v>
      </x:c>
      <x:c r="T13" s="4" t="str">
        <x:v>主路径</x:v>
      </x:c>
      <x:c r="U13" s="4" t="str"/>
      <x:c r="V13" s="11" t="n">
        <x:v>61.62201592203346</x:v>
      </x:c>
      <x:c r="W13" s="4" t="str">
        <x:v>HEX27/64点；20%完成但密采样材料域失败</x:v>
      </x:c>
      <x:c r="X13" s="4" t="str">
        <x:v>/home/xuehu/projects/tpms_jax/validation/jax_improvement_20261006_r8/T0p004_q6_cpu_geometry/result.json</x:v>
      </x:c>
    </x:row>
    <x:row r="14" ht="25" customHeight="1">
      <x:c r="A14" s="4" t="str">
        <x:v>28-P2</x:v>
      </x:c>
      <x:c r="B14" s="4" t="str">
        <x:v>diverse_28</x:v>
      </x:c>
      <x:c r="C14" s="4" t="str">
        <x:v>JAX/Explicit</x:v>
      </x:c>
      <x:c r="D14" s="9" t="n">
        <x:v>4</x:v>
      </x:c>
      <x:c r="E14" s="9" t="n">
        <x:v>0.5</x:v>
      </x:c>
      <x:c r="F14" s="4" t="n">
        <x:v>2</x:v>
      </x:c>
      <x:c r="G14" s="4" t="str">
        <x:v>HEX27</x:v>
      </x:c>
      <x:c r="H14" s="4" t="n">
        <x:v>64</x:v>
      </x:c>
      <x:c r="I14" s="4" t="str">
        <x:v>平滑</x:v>
      </x:c>
      <x:c r="J14" s="10" t="n">
        <x:v>0.05</x:v>
      </x:c>
      <x:c r="K14" s="10" t="str">
        <x:v>NH</x:v>
      </x:c>
      <x:c r="L14" s="10" t="n">
        <x:v>0</x:v>
      </x:c>
      <x:c r="M14" s="10" t="n">
        <x:v>0.007777391761088615</x:v>
      </x:c>
      <x:c r="N14" s="10" t="n">
        <x:v>0.007777391761088615</x:v>
      </x:c>
      <x:c r="O14" s="10" t="n">
        <x:v>0.01552811873990331</x:v>
      </x:c>
      <x:c r="P14" s="4" t="str">
        <x:v>未观察</x:v>
      </x:c>
      <x:c r="Q14" s="10" t="n">
        <x:v>0.01552811873990331</x:v>
      </x:c>
      <x:c r="R14" s="10" t="str">
        <x:v>n.a.</x:v>
      </x:c>
      <x:c r="S14" s="4" t="str">
        <x:v>仅准备/资源探针</x:v>
      </x:c>
      <x:c r="T14" s="4" t="str">
        <x:v>资源探针</x:v>
      </x:c>
      <x:c r="U14" s="4" t="str"/>
      <x:c r="V14" s="11" t="n">
        <x:v>0.0760696218155014</x:v>
      </x:c>
      <x:c r="W14" s="4" t="str">
        <x:v>N2短路径；用于传输/资源检查</x:v>
      </x:c>
      <x:c r="X14" s="4" t="str">
        <x:v>/home/xuehu/projects/tpms_jax/validation/jax_improvement_20261006_r8/device_transfer_probe/result.json</x:v>
      </x:c>
    </x:row>
    <x:row r="15" ht="25" customHeight="1">
      <x:c r="A15" s="4" t="str">
        <x:v>28-S20</x:v>
      </x:c>
      <x:c r="B15" s="4" t="str">
        <x:v>diverse_28</x:v>
      </x:c>
      <x:c r="C15" s="4" t="str">
        <x:v>Abaqus/Explicit</x:v>
      </x:c>
      <x:c r="D15" s="9" t="n">
        <x:v>20</x:v>
      </x:c>
      <x:c r="E15" s="9" t="n">
        <x:v>0.5</x:v>
      </x:c>
      <x:c r="F15" s="4" t="str">
        <x:v>n.a.</x:v>
      </x:c>
      <x:c r="G15" s="4" t="str">
        <x:v>S3R</x:v>
      </x:c>
      <x:c r="H15" s="4" t="n">
        <x:v>5</x:v>
      </x:c>
      <x:c r="I15" s="4" t="str">
        <x:v>中面壳</x:v>
      </x:c>
      <x:c r="J15" s="10" t="str">
        <x:v>n.a.</x:v>
      </x:c>
      <x:c r="K15" s="10" t="str">
        <x:v>NH壳</x:v>
      </x:c>
      <x:c r="L15" s="10" t="n">
        <x:v>0</x:v>
      </x:c>
      <x:c r="M15" s="10" t="n">
        <x:v>20</x:v>
      </x:c>
      <x:c r="N15" s="10" t="n">
        <x:v>10.513772964477539</x:v>
      </x:c>
      <x:c r="O15" s="10" t="n">
        <x:v>2.24279522895813</x:v>
      </x:c>
      <x:c r="P15" s="4" t="str">
        <x:v>已观察</x:v>
      </x:c>
      <x:c r="Q15" s="10" t="n">
        <x:v>1.831416284607351</x:v>
      </x:c>
      <x:c r="R15" s="10" t="n">
        <x:v>1.8314567259715084</x:v>
      </x:c>
      <x:c r="S15" s="4" t="str">
        <x:v>完整20%+保载</x:v>
      </x:c>
      <x:c r="T15" s="4" t="str">
        <x:v>壳速率</x:v>
      </x:c>
      <x:c r="U15" s="4" t="str">
        <x:v>global_energy_drift_le_1pct</x:v>
      </x:c>
      <x:c r="V15" s="11" t="str">
        <x:v>n.a.</x:v>
      </x:c>
      <x:c r="W15" s="4" t="str">
        <x:v>T20ms</x:v>
      </x:c>
      <x:c r="X15" s="4" t="str">
        <x:v>/home/xuehu/projects/tpms_jax/validation/large_compression_20261005_r6/abaqus/explicit_T0p020/shell.json</x:v>
      </x:c>
    </x:row>
    <x:row r="16" ht="25" customHeight="1">
      <x:c r="A16" s="4" t="str">
        <x:v>28-S40</x:v>
      </x:c>
      <x:c r="B16" s="4" t="str">
        <x:v>diverse_28</x:v>
      </x:c>
      <x:c r="C16" s="4" t="str">
        <x:v>Abaqus/Explicit</x:v>
      </x:c>
      <x:c r="D16" s="9" t="n">
        <x:v>40</x:v>
      </x:c>
      <x:c r="E16" s="9" t="n">
        <x:v>0.5</x:v>
      </x:c>
      <x:c r="F16" s="4" t="str">
        <x:v>n.a.</x:v>
      </x:c>
      <x:c r="G16" s="4" t="str">
        <x:v>S3R</x:v>
      </x:c>
      <x:c r="H16" s="4" t="n">
        <x:v>5</x:v>
      </x:c>
      <x:c r="I16" s="4" t="str">
        <x:v>中面壳</x:v>
      </x:c>
      <x:c r="J16" s="10" t="str">
        <x:v>n.a.</x:v>
      </x:c>
      <x:c r="K16" s="10" t="str">
        <x:v>NH壳</x:v>
      </x:c>
      <x:c r="L16" s="10" t="n">
        <x:v>0</x:v>
      </x:c>
      <x:c r="M16" s="10" t="n">
        <x:v>20</x:v>
      </x:c>
      <x:c r="N16" s="10" t="n">
        <x:v>10.55477261543274</x:v>
      </x:c>
      <x:c r="O16" s="10" t="n">
        <x:v>2.243082284927368</x:v>
      </x:c>
      <x:c r="P16" s="4" t="str">
        <x:v>已观察</x:v>
      </x:c>
      <x:c r="Q16" s="10" t="n">
        <x:v>1.8314450142940606</x:v>
      </x:c>
      <x:c r="R16" s="10" t="n">
        <x:v>1.8314456788421052</x:v>
      </x:c>
      <x:c r="S16" s="4" t="str">
        <x:v>完整20%+保载</x:v>
      </x:c>
      <x:c r="T16" s="4" t="str">
        <x:v>壳速率</x:v>
      </x:c>
      <x:c r="U16" s="4" t="str">
        <x:v>global_energy_drift_le_1pct</x:v>
      </x:c>
      <x:c r="V16" s="11" t="str">
        <x:v>n.a.</x:v>
      </x:c>
      <x:c r="W16" s="4" t="str">
        <x:v>T40ms</x:v>
      </x:c>
      <x:c r="X16" s="4" t="str">
        <x:v>/home/xuehu/projects/tpms_jax/validation/large_compression_20261005_r6/abaqus/explicit_T0p040/shell.json</x:v>
      </x:c>
    </x:row>
    <x:row r="17" ht="25" customHeight="1">
      <x:c r="A17" s="4" t="str">
        <x:v>28-STD20</x:v>
      </x:c>
      <x:c r="B17" s="4" t="str">
        <x:v>diverse_28</x:v>
      </x:c>
      <x:c r="C17" s="4" t="str">
        <x:v>Abaqus/Standard</x:v>
      </x:c>
      <x:c r="D17" s="9" t="str">
        <x:v>n.a.</x:v>
      </x:c>
      <x:c r="E17" s="9" t="n">
        <x:v>0.5</x:v>
      </x:c>
      <x:c r="F17" s="4" t="str">
        <x:v>n.a.</x:v>
      </x:c>
      <x:c r="G17" s="4" t="str">
        <x:v>S3R</x:v>
      </x:c>
      <x:c r="H17" s="4" t="n">
        <x:v>5</x:v>
      </x:c>
      <x:c r="I17" s="4" t="str">
        <x:v>中面壳</x:v>
      </x:c>
      <x:c r="J17" s="10" t="str">
        <x:v>n.a.</x:v>
      </x:c>
      <x:c r="K17" s="10" t="str">
        <x:v>NH壳</x:v>
      </x:c>
      <x:c r="L17" s="10" t="n">
        <x:v>0.04999999888241291</x:v>
      </x:c>
      <x:c r="M17" s="10" t="n">
        <x:v>20</x:v>
      </x:c>
      <x:c r="N17" s="10" t="n">
        <x:v>10.700000524520874</x:v>
      </x:c>
      <x:c r="O17" s="10" t="n">
        <x:v>2.2589142322540283</x:v>
      </x:c>
      <x:c r="P17" s="4" t="str">
        <x:v>已观察</x:v>
      </x:c>
      <x:c r="Q17" s="10" t="n">
        <x:v>1.8665707111358643</x:v>
      </x:c>
      <x:c r="R17" s="10" t="str">
        <x:v>n.a.</x:v>
      </x:c>
      <x:c r="S17" s="4" t="str">
        <x:v>完整20%</x:v>
      </x:c>
      <x:c r="T17" s="4" t="str">
        <x:v>Standard路径</x:v>
      </x:c>
      <x:c r="U17" s="4" t="str">
        <x:v>relative_total_energy_work_le_1pct; artificial_energy_fraction_le_1pct</x:v>
      </x:c>
      <x:c r="V17" s="11" t="str">
        <x:v>n.a.</x:v>
      </x:c>
      <x:c r="W17" s="4" t="str">
        <x:v>20%完成；原能量/人工能检查未过；时间为伪时间</x:v>
      </x:c>
      <x:c r="X17" s="4" t="str">
        <x:v>/home/xuehu/projects/tpms_jax/validation/large_compression_20261005_r6/abaqus/standard/shell.json</x:v>
      </x:c>
    </x:row>
    <x:row r="18" ht="25" customHeight="1">
      <x:c r="A18" s="4" t="str">
        <x:v>28-H8</x:v>
      </x:c>
      <x:c r="B18" s="4" t="str">
        <x:v>diverse_28</x:v>
      </x:c>
      <x:c r="C18" s="4" t="str">
        <x:v>JAX/Explicit</x:v>
      </x:c>
      <x:c r="D18" s="9" t="n">
        <x:v>4</x:v>
      </x:c>
      <x:c r="E18" s="9" t="n">
        <x:v>0.5</x:v>
      </x:c>
      <x:c r="F18" s="4" t="n">
        <x:v>64</x:v>
      </x:c>
      <x:c r="G18" s="4" t="str">
        <x:v>HEX8</x:v>
      </x:c>
      <x:c r="H18" s="4" t="n">
        <x:v>8</x:v>
      </x:c>
      <x:c r="I18" s="4" t="str">
        <x:v>平滑</x:v>
      </x:c>
      <x:c r="J18" s="10" t="n">
        <x:v>0.05</x:v>
      </x:c>
      <x:c r="K18" s="10" t="str">
        <x:v>NH</x:v>
      </x:c>
      <x:c r="L18" s="10" t="n">
        <x:v>0</x:v>
      </x:c>
      <x:c r="M18" s="10" t="n">
        <x:v>19.999999996805666</x:v>
      </x:c>
      <x:c r="N18" s="10" t="n">
        <x:v>11.283905010584126</x:v>
      </x:c>
      <x:c r="O18" s="10" t="n">
        <x:v>2.596677634505893</x:v>
      </x:c>
      <x:c r="P18" s="4" t="str">
        <x:v>已观察</x:v>
      </x:c>
      <x:c r="Q18" s="10" t="n">
        <x:v>2.2409184047735686</x:v>
      </x:c>
      <x:c r="R18" s="10" t="n">
        <x:v>2.2434357340946502</x:v>
      </x:c>
      <x:c r="S18" s="4" t="str">
        <x:v>完整20%+保载</x:v>
      </x:c>
      <x:c r="T18" s="4" t="str">
        <x:v>主路径</x:v>
      </x:c>
      <x:c r="U18" s="4" t="str"/>
      <x:c r="V18" s="11" t="n">
        <x:v>18.56578690621633</x:v>
      </x:c>
      <x:c r="W18" s="4" t="str">
        <x:v>HEX8 N64；原NH自适应完整路径</x:v>
      </x:c>
      <x:c r="X18" s="4" t="str">
        <x:v>/home/xuehu/projects/tpms_jax/validation/large_compression_20261005_r6/explicit/N64_T0p004_adaptive/result.json</x:v>
      </x:c>
    </x:row>
    <x:row r="19" ht="25" customHeight="1">
      <x:c r="A19" s="4" t="str">
        <x:v>28-P64</x:v>
      </x:c>
      <x:c r="B19" s="4" t="str">
        <x:v>diverse_28</x:v>
      </x:c>
      <x:c r="C19" s="4" t="str">
        <x:v>JAX/Explicit</x:v>
      </x:c>
      <x:c r="D19" s="9" t="n">
        <x:v>20</x:v>
      </x:c>
      <x:c r="E19" s="9" t="n">
        <x:v>0.5</x:v>
      </x:c>
      <x:c r="F19" s="4" t="n">
        <x:v>64</x:v>
      </x:c>
      <x:c r="G19" s="4" t="str">
        <x:v>HEX8</x:v>
      </x:c>
      <x:c r="H19" s="4" t="n">
        <x:v>8</x:v>
      </x:c>
      <x:c r="I19" s="4" t="str">
        <x:v>平滑</x:v>
      </x:c>
      <x:c r="J19" s="10" t="n">
        <x:v>0.05</x:v>
      </x:c>
      <x:c r="K19" s="10" t="str">
        <x:v>NH</x:v>
      </x:c>
      <x:c r="L19" s="10" t="n">
        <x:v>0</x:v>
      </x:c>
      <x:c r="M19" s="10" t="n">
        <x:v>1.599621326742293e-8</x:v>
      </x:c>
      <x:c r="N19" s="10" t="n">
        <x:v>1.599621326742293e-8</x:v>
      </x:c>
      <x:c r="O19" s="10" t="n">
        <x:v>2.8424402619486396e-7</x:v>
      </x:c>
      <x:c r="P19" s="4" t="str">
        <x:v>未观察</x:v>
      </x:c>
      <x:c r="Q19" s="10" t="n">
        <x:v>2.8424402619486396e-7</x:v>
      </x:c>
      <x:c r="R19" s="10" t="str">
        <x:v>n.a.</x:v>
      </x:c>
      <x:c r="S19" s="4" t="str">
        <x:v>仅准备/资源探针</x:v>
      </x:c>
      <x:c r="T19" s="4" t="str">
        <x:v>资源探针</x:v>
      </x:c>
      <x:c r="U19" s="4" t="str"/>
      <x:c r="V19" s="11" t="n">
        <x:v>0.5535595921004036</x:v>
      </x:c>
      <x:c r="W19" s="4" t="str">
        <x:v>N64初始32步；未覆盖实质压缩</x:v>
      </x:c>
      <x:c r="X19" s="4" t="str">
        <x:v>/home/xuehu/projects/tpms_jax/validation/large_compression_20261005_r6/explicit/N64_probe/result.json</x:v>
      </x:c>
    </x:row>
    <x:row r="20" ht="25" customHeight="1">
      <x:c r="A20" s="4" t="str">
        <x:v>28-Dminus</x:v>
      </x:c>
      <x:c r="B20" s="4" t="str">
        <x:v>diverse_28</x:v>
      </x:c>
      <x:c r="C20" s="4" t="str">
        <x:v>JAX/Explicit</x:v>
      </x:c>
      <x:c r="D20" s="9" t="n">
        <x:v>4</x:v>
      </x:c>
      <x:c r="E20" s="9" t="n">
        <x:v>0.4975</x:v>
      </x:c>
      <x:c r="F20" s="4" t="n">
        <x:v>32</x:v>
      </x:c>
      <x:c r="G20" s="4" t="str">
        <x:v>HEX27</x:v>
      </x:c>
      <x:c r="H20" s="4" t="n">
        <x:v>27</x:v>
      </x:c>
      <x:c r="I20" s="4" t="str">
        <x:v>平滑</x:v>
      </x:c>
      <x:c r="J20" s="10" t="n">
        <x:v>0.05</x:v>
      </x:c>
      <x:c r="K20" s="10" t="str">
        <x:v>NH</x:v>
      </x:c>
      <x:c r="L20" s="10" t="n">
        <x:v>0</x:v>
      </x:c>
      <x:c r="M20" s="10" t="n">
        <x:v>19.9999999968057</x:v>
      </x:c>
      <x:c r="N20" s="10" t="n">
        <x:v>10.318311216977074</x:v>
      </x:c>
      <x:c r="O20" s="10" t="n">
        <x:v>2.36366443776415</x:v>
      </x:c>
      <x:c r="P20" s="4" t="str">
        <x:v>已观察</x:v>
      </x:c>
      <x:c r="Q20" s="10" t="n">
        <x:v>1.9768215825970206</x:v>
      </x:c>
      <x:c r="R20" s="10" t="n">
        <x:v>1.9778867136989904</x:v>
      </x:c>
      <x:c r="S20" s="4" t="str">
        <x:v>完整20%+保载</x:v>
      </x:c>
      <x:c r="T20" s="4" t="str">
        <x:v>梯度扰动</x:v>
      </x:c>
      <x:c r="U20" s="4" t="str"/>
      <x:c r="V20" s="11" t="n">
        <x:v>15.458165700399938</x:v>
      </x:c>
      <x:c r="W20" s="4" t="str">
        <x:v>t0.4975mm；原NH总导数20%符号失败</x:v>
      </x:c>
      <x:c r="X20" s="4" t="str">
        <x:v>/home/xuehu/projects/tpms_jax/validation/large_compression_20261005_r6/gradient20_path_20261005/adaptive_minus/result.json</x:v>
      </x:c>
    </x:row>
    <x:row r="21" ht="25" customHeight="1">
      <x:c r="A21" s="4" t="str">
        <x:v>28-Dplus</x:v>
      </x:c>
      <x:c r="B21" s="4" t="str">
        <x:v>diverse_28</x:v>
      </x:c>
      <x:c r="C21" s="4" t="str">
        <x:v>JAX/Explicit</x:v>
      </x:c>
      <x:c r="D21" s="9" t="n">
        <x:v>4</x:v>
      </x:c>
      <x:c r="E21" s="9" t="n">
        <x:v>0.5025</x:v>
      </x:c>
      <x:c r="F21" s="4" t="n">
        <x:v>32</x:v>
      </x:c>
      <x:c r="G21" s="4" t="str">
        <x:v>HEX27</x:v>
      </x:c>
      <x:c r="H21" s="4" t="n">
        <x:v>27</x:v>
      </x:c>
      <x:c r="I21" s="4" t="str">
        <x:v>平滑</x:v>
      </x:c>
      <x:c r="J21" s="10" t="n">
        <x:v>0.05</x:v>
      </x:c>
      <x:c r="K21" s="10" t="str">
        <x:v>NH</x:v>
      </x:c>
      <x:c r="L21" s="10" t="n">
        <x:v>0</x:v>
      </x:c>
      <x:c r="M21" s="10" t="n">
        <x:v>19.9999999968057</x:v>
      </x:c>
      <x:c r="N21" s="10" t="n">
        <x:v>10.64106457601845</x:v>
      </x:c>
      <x:c r="O21" s="10" t="n">
        <x:v>2.418073657489191</x:v>
      </x:c>
      <x:c r="P21" s="4" t="str">
        <x:v>已观察</x:v>
      </x:c>
      <x:c r="Q21" s="10" t="n">
        <x:v>2.031532356106844</x:v>
      </x:c>
      <x:c r="R21" s="10" t="n">
        <x:v>2.031940240269993</x:v>
      </x:c>
      <x:c r="S21" s="4" t="str">
        <x:v>完整20%+保载</x:v>
      </x:c>
      <x:c r="T21" s="4" t="str">
        <x:v>梯度扰动</x:v>
      </x:c>
      <x:c r="U21" s="4" t="str"/>
      <x:c r="V21" s="11" t="n">
        <x:v>15.44324613130011</x:v>
      </x:c>
      <x:c r="W21" s="4" t="str">
        <x:v>t0.5025mm；原NH总导数20%符号失败</x:v>
      </x:c>
      <x:c r="X21" s="4" t="str">
        <x:v>/home/xuehu/projects/tpms_jax/validation/large_compression_20261005_r6/gradient20_path_20261005/adaptive_plus/result.json</x:v>
      </x:c>
    </x:row>
    <x:row r="22" ht="25" customHeight="1">
      <x:c r="A22" s="4" t="str">
        <x:v>28-Dreplay</x:v>
      </x:c>
      <x:c r="B22" s="4" t="str">
        <x:v>diverse_28</x:v>
      </x:c>
      <x:c r="C22" s="4" t="str">
        <x:v>JAX/Explicit</x:v>
      </x:c>
      <x:c r="D22" s="9" t="n">
        <x:v>4</x:v>
      </x:c>
      <x:c r="E22" s="9" t="n">
        <x:v>0.5</x:v>
      </x:c>
      <x:c r="F22" s="4" t="n">
        <x:v>32</x:v>
      </x:c>
      <x:c r="G22" s="4" t="str">
        <x:v>HEX27</x:v>
      </x:c>
      <x:c r="H22" s="4" t="n">
        <x:v>27</x:v>
      </x:c>
      <x:c r="I22" s="4" t="str">
        <x:v>平滑</x:v>
      </x:c>
      <x:c r="J22" s="10" t="n">
        <x:v>0.05</x:v>
      </x:c>
      <x:c r="K22" s="10" t="str">
        <x:v>NH</x:v>
      </x:c>
      <x:c r="L22" s="10" t="n">
        <x:v>0.00012638327386491535</x:v>
      </x:c>
      <x:c r="M22" s="10" t="n">
        <x:v>19.9999999968057</x:v>
      </x:c>
      <x:c r="N22" s="10" t="n">
        <x:v>10.318311216977074</x:v>
      </x:c>
      <x:c r="O22" s="10" t="n">
        <x:v>2.390680464085596</x:v>
      </x:c>
      <x:c r="P22" s="4" t="str">
        <x:v>已观察</x:v>
      </x:c>
      <x:c r="Q22" s="10" t="n">
        <x:v>2.003890184479672</x:v>
      </x:c>
      <x:c r="R22" s="10" t="n">
        <x:v>2.0047653084040724</x:v>
      </x:c>
      <x:c r="S22" s="4" t="str">
        <x:v>完整20%+保载</x:v>
      </x:c>
      <x:c r="T22" s="4" t="str">
        <x:v>固定时间表</x:v>
      </x:c>
      <x:c r="U22" s="4" t="str"/>
      <x:c r="V22" s="11" t="n">
        <x:v>49.76660771624981</x:v>
      </x:c>
      <x:c r="W22" s="4" t="str">
        <x:v>原基准接受时间表独立重放；20%梯度未过</x:v>
      </x:c>
      <x:c r="X22" s="4" t="str">
        <x:v>/home/xuehu/projects/tpms_jax/validation/large_compression_20261005_r6/gradient20_path_20261005/path_ad_full/result.json</x:v>
      </x:c>
    </x:row>
    <x:row r="23" ht="25" customHeight="1">
      <x:c r="A23" s="4" t="str">
        <x:v>28-NH4</x:v>
      </x:c>
      <x:c r="B23" s="4" t="str">
        <x:v>diverse_28</x:v>
      </x:c>
      <x:c r="C23" s="4" t="str">
        <x:v>JAX/Explicit</x:v>
      </x:c>
      <x:c r="D23" s="9" t="n">
        <x:v>4</x:v>
      </x:c>
      <x:c r="E23" s="9" t="n">
        <x:v>0.5</x:v>
      </x:c>
      <x:c r="F23" s="4" t="n">
        <x:v>32</x:v>
      </x:c>
      <x:c r="G23" s="4" t="str">
        <x:v>HEX27</x:v>
      </x:c>
      <x:c r="H23" s="4" t="n">
        <x:v>27</x:v>
      </x:c>
      <x:c r="I23" s="4" t="str">
        <x:v>平滑</x:v>
      </x:c>
      <x:c r="J23" s="10" t="n">
        <x:v>0.05</x:v>
      </x:c>
      <x:c r="K23" s="10" t="str">
        <x:v>NH</x:v>
      </x:c>
      <x:c r="L23" s="10" t="n">
        <x:v>0</x:v>
      </x:c>
      <x:c r="M23" s="10" t="n">
        <x:v>19.9999999968057</x:v>
      </x:c>
      <x:c r="N23" s="10" t="n">
        <x:v>10.318311216977074</x:v>
      </x:c>
      <x:c r="O23" s="10" t="n">
        <x:v>2.390680464085573</x:v>
      </x:c>
      <x:c r="P23" s="4" t="str">
        <x:v>已观察</x:v>
      </x:c>
      <x:c r="Q23" s="10" t="n">
        <x:v>2.0038901844797974</x:v>
      </x:c>
      <x:c r="R23" s="10" t="n">
        <x:v>2.0047653084040404</x:v>
      </x:c>
      <x:c r="S23" s="4" t="str">
        <x:v>完整20%+保载</x:v>
      </x:c>
      <x:c r="T23" s="4" t="str">
        <x:v>主路径</x:v>
      </x:c>
      <x:c r="U23" s="4" t="str"/>
      <x:c r="V23" s="11" t="n">
        <x:v>15.587109334300234</x:v>
      </x:c>
      <x:c r="W23" s="4" t="str">
        <x:v>HEX27/27点 NH，T4ms</x:v>
      </x:c>
      <x:c r="X23" s="4" t="str">
        <x:v>/home/xuehu/projects/tpms_jax/validation/large_compression_20261005_r6/quadratic_candidate/T0p004_compact/result.json</x:v>
      </x:c>
    </x:row>
    <x:row r="24" ht="25" customHeight="1">
      <x:c r="A24" s="4" t="str">
        <x:v>28-NH8</x:v>
      </x:c>
      <x:c r="B24" s="4" t="str">
        <x:v>diverse_28</x:v>
      </x:c>
      <x:c r="C24" s="4" t="str">
        <x:v>JAX/Explicit</x:v>
      </x:c>
      <x:c r="D24" s="9" t="n">
        <x:v>8</x:v>
      </x:c>
      <x:c r="E24" s="9" t="n">
        <x:v>0.5</x:v>
      </x:c>
      <x:c r="F24" s="4" t="n">
        <x:v>32</x:v>
      </x:c>
      <x:c r="G24" s="4" t="str">
        <x:v>HEX27</x:v>
      </x:c>
      <x:c r="H24" s="4" t="n">
        <x:v>27</x:v>
      </x:c>
      <x:c r="I24" s="4" t="str">
        <x:v>平滑</x:v>
      </x:c>
      <x:c r="J24" s="10" t="n">
        <x:v>0.05</x:v>
      </x:c>
      <x:c r="K24" s="10" t="str">
        <x:v>NH</x:v>
      </x:c>
      <x:c r="L24" s="10" t="n">
        <x:v>0</x:v>
      </x:c>
      <x:c r="M24" s="10" t="n">
        <x:v>19.999999997921392</x:v>
      </x:c>
      <x:c r="N24" s="10" t="n">
        <x:v>10.802775870296626</x:v>
      </x:c>
      <x:c r="O24" s="10" t="n">
        <x:v>2.397300454739191</x:v>
      </x:c>
      <x:c r="P24" s="4" t="str">
        <x:v>已观察</x:v>
      </x:c>
      <x:c r="Q24" s="10" t="n">
        <x:v>2.0046920429385335</x:v>
      </x:c>
      <x:c r="R24" s="10" t="n">
        <x:v>2.004568660464527</x:v>
      </x:c>
      <x:c r="S24" s="4" t="str">
        <x:v>完整20%+保载</x:v>
      </x:c>
      <x:c r="T24" s="4" t="str">
        <x:v>主路径</x:v>
      </x:c>
      <x:c r="U24" s="4" t="str"/>
      <x:c r="V24" s="11" t="n">
        <x:v>30.85526513381628</x:v>
      </x:c>
      <x:c r="W24" s="4" t="str">
        <x:v>HEX27/27点 NH，T8ms</x:v>
      </x:c>
      <x:c r="X24" s="4" t="str">
        <x:v>/home/xuehu/projects/tpms_jax/validation/large_compression_20261005_r6/quadratic_candidate/T0p008_compact/result.json</x:v>
      </x:c>
    </x:row>
    <x:row r="25" ht="25" customHeight="1">
      <x:c r="A25" s="4" t="str">
        <x:v>28-P32</x:v>
      </x:c>
      <x:c r="B25" s="4" t="str">
        <x:v>diverse_28</x:v>
      </x:c>
      <x:c r="C25" s="4" t="str">
        <x:v>JAX/Explicit</x:v>
      </x:c>
      <x:c r="D25" s="9" t="n">
        <x:v>4</x:v>
      </x:c>
      <x:c r="E25" s="9" t="n">
        <x:v>0.5</x:v>
      </x:c>
      <x:c r="F25" s="4" t="n">
        <x:v>32</x:v>
      </x:c>
      <x:c r="G25" s="4" t="str">
        <x:v>HEX27</x:v>
      </x:c>
      <x:c r="H25" s="4" t="n">
        <x:v>27</x:v>
      </x:c>
      <x:c r="I25" s="4" t="str">
        <x:v>平滑</x:v>
      </x:c>
      <x:c r="J25" s="10" t="n">
        <x:v>0.05</x:v>
      </x:c>
      <x:c r="K25" s="10" t="str">
        <x:v>NH</x:v>
      </x:c>
      <x:c r="L25" s="10" t="n">
        <x:v>0</x:v>
      </x:c>
      <x:c r="M25" s="10" t="n">
        <x:v>0.0000019943585398039257</x:v>
      </x:c>
      <x:c r="N25" s="10" t="n">
        <x:v>0.0000019943585398039257</x:v>
      </x:c>
      <x:c r="O25" s="10" t="n">
        <x:v>0.00003445447716195151</x:v>
      </x:c>
      <x:c r="P25" s="4" t="str">
        <x:v>未观察</x:v>
      </x:c>
      <x:c r="Q25" s="10" t="n">
        <x:v>0.00003445447716195151</x:v>
      </x:c>
      <x:c r="R25" s="10" t="str">
        <x:v>n.a.</x:v>
      </x:c>
      <x:c r="S25" s="4" t="str">
        <x:v>仅准备/资源探针</x:v>
      </x:c>
      <x:c r="T25" s="4" t="str">
        <x:v>资源探针</x:v>
      </x:c>
      <x:c r="U25" s="4" t="str"/>
      <x:c r="V25" s="11" t="n">
        <x:v>0.6359882623995267</x:v>
      </x:c>
      <x:c r="W25" s="4" t="str">
        <x:v>HEX27 N32准备后32步</x:v>
      </x:c>
      <x:c r="X25" s="4" t="str">
        <x:v>/home/xuehu/projects/tpms_jax/validation/large_compression_20261005_r6/quadratic_candidate/probe_ready/result.json</x:v>
      </x:c>
    </x:row>
    <x:row r="26" ht="25" customHeight="1">
      <x:c r="A26" s="4" t="str">
        <x:v>04-J17</x:v>
      </x:c>
      <x:c r="B26" s="4" t="str">
        <x:v>diverse_04</x:v>
      </x:c>
      <x:c r="C26" s="4" t="str">
        <x:v>JAX/Explicit</x:v>
      </x:c>
      <x:c r="D26" s="9" t="n">
        <x:v>4</x:v>
      </x:c>
      <x:c r="E26" s="9" t="n">
        <x:v>0.5</x:v>
      </x:c>
      <x:c r="F26" s="4" t="n">
        <x:v>32</x:v>
      </x:c>
      <x:c r="G26" s="4" t="str">
        <x:v>HEX27</x:v>
      </x:c>
      <x:c r="H26" s="4" t="n">
        <x:v>27</x:v>
      </x:c>
      <x:c r="I26" s="4" t="str">
        <x:v>平滑</x:v>
      </x:c>
      <x:c r="J26" s="10" t="n">
        <x:v>0.05</x:v>
      </x:c>
      <x:c r="K26" s="10" t="str">
        <x:v>C²</x:v>
      </x:c>
      <x:c r="L26" s="10" t="n">
        <x:v>0</x:v>
      </x:c>
      <x:c r="M26" s="10" t="n">
        <x:v>15.966239917005407</x:v>
      </x:c>
      <x:c r="N26" s="10" t="n">
        <x:v>15.966239917005407</x:v>
      </x:c>
      <x:c r="O26" s="10" t="n">
        <x:v>7.070239787769439</x:v>
      </x:c>
      <x:c r="P26" s="4" t="str">
        <x:v>未观察</x:v>
      </x:c>
      <x:c r="Q26" s="10" t="n">
        <x:v>7.070239787769439</x:v>
      </x:c>
      <x:c r="R26" s="10" t="str">
        <x:v>n.a.</x:v>
      </x:c>
      <x:c r="S26" s="4" t="str">
        <x:v>后续数值失败</x:v>
      </x:c>
      <x:c r="T26" s="4" t="str">
        <x:v>主路径</x:v>
      </x:c>
      <x:c r="U26" s="4" t="str"/>
      <x:c r="V26" s="11" t="n">
        <x:v>7.226730991816536</x:v>
      </x:c>
      <x:c r="W26" s="4" t="str">
        <x:v>原控制；15.9662%末个块接受态后数值失败</x:v>
      </x:c>
      <x:c r="X26" s="4" t="str">
        <x:v>/home/xuehu/projects/tpms_jax/validation/mechanism_20261007_r17/original_diagnostic/accepted_path.json</x:v>
      </x:c>
    </x:row>
    <x:row r="27" ht="25" customHeight="1">
      <x:c r="A27" s="4" t="str">
        <x:v>04-Rfail</x:v>
      </x:c>
      <x:c r="B27" s="4" t="str">
        <x:v>diverse_04</x:v>
      </x:c>
      <x:c r="C27" s="4" t="str">
        <x:v>JAX/Explicit</x:v>
      </x:c>
      <x:c r="D27" s="9" t="n">
        <x:v>4</x:v>
      </x:c>
      <x:c r="E27" s="9" t="n">
        <x:v>0.5</x:v>
      </x:c>
      <x:c r="F27" s="4" t="n">
        <x:v>32</x:v>
      </x:c>
      <x:c r="G27" s="4" t="str">
        <x:v>HEX27</x:v>
      </x:c>
      <x:c r="H27" s="4" t="n">
        <x:v>27</x:v>
      </x:c>
      <x:c r="I27" s="4" t="str">
        <x:v>平滑</x:v>
      </x:c>
      <x:c r="J27" s="10" t="n">
        <x:v>0.05</x:v>
      </x:c>
      <x:c r="K27" s="10" t="str">
        <x:v>C²</x:v>
      </x:c>
      <x:c r="L27" s="10" t="n">
        <x:v>15.968200951565237</x:v>
      </x:c>
      <x:c r="M27" s="10" t="n">
        <x:v>16.022941795541275</x:v>
      </x:c>
      <x:c r="N27" s="10" t="n">
        <x:v>15.968200951565237</x:v>
      </x:c>
      <x:c r="O27" s="10" t="n">
        <x:v>7.070019827799928</x:v>
      </x:c>
      <x:c r="P27" s="4" t="str">
        <x:v>未观察</x:v>
      </x:c>
      <x:c r="Q27" s="10" t="n">
        <x:v>7.059865095846049</x:v>
      </x:c>
      <x:c r="R27" s="10" t="str">
        <x:v>n.a.</x:v>
      </x:c>
      <x:c r="S27" s="4" t="str">
        <x:v>仅局部窗口</x:v>
      </x:c>
      <x:c r="T27" s="4" t="str">
        <x:v>局部重放</x:v>
      </x:c>
      <x:c r="U27" s="4" t="str"/>
      <x:c r="V27" s="11" t="str">
        <x:v>n.a.</x:v>
      </x:c>
      <x:c r="W27" s="4" t="str">
        <x:v>首错前逐步有效记录；15.9682–16.0229%，非从零路径</x:v>
      </x:c>
      <x:c r="X27" s="4" t="str">
        <x:v>/home/xuehu/projects/tpms_jax/validation/mechanism_20261007_r17/original_diagnostic/first_rejection_replay/first_failure.json</x:v>
      </x:c>
    </x:row>
    <x:row r="28" ht="25" customHeight="1">
      <x:c r="A28" s="4" t="str">
        <x:v>04-Rdt</x:v>
      </x:c>
      <x:c r="B28" s="4" t="str">
        <x:v>diverse_04</x:v>
      </x:c>
      <x:c r="C28" s="4" t="str">
        <x:v>JAX/Explicit</x:v>
      </x:c>
      <x:c r="D28" s="9" t="n">
        <x:v>4</x:v>
      </x:c>
      <x:c r="E28" s="9" t="n">
        <x:v>0.5</x:v>
      </x:c>
      <x:c r="F28" s="4" t="n">
        <x:v>32</x:v>
      </x:c>
      <x:c r="G28" s="4" t="str">
        <x:v>HEX27</x:v>
      </x:c>
      <x:c r="H28" s="4" t="n">
        <x:v>27</x:v>
      </x:c>
      <x:c r="I28" s="4" t="str">
        <x:v>平滑</x:v>
      </x:c>
      <x:c r="J28" s="10" t="n">
        <x:v>0.05</x:v>
      </x:c>
      <x:c r="K28" s="10" t="str">
        <x:v>C²</x:v>
      </x:c>
      <x:c r="L28" s="10" t="n">
        <x:v>15.966239917005407</x:v>
      </x:c>
      <x:c r="M28" s="10" t="n">
        <x:v>16.21385546274957</x:v>
      </x:c>
      <x:c r="N28" s="10" t="n">
        <x:v>15.966239917005407</x:v>
      </x:c>
      <x:c r="O28" s="10" t="n">
        <x:v>7.070239787769439</x:v>
      </x:c>
      <x:c r="P28" s="4" t="str">
        <x:v>未观察</x:v>
      </x:c>
      <x:c r="Q28" s="10" t="n">
        <x:v>6.852041748265384</x:v>
      </x:c>
      <x:c r="R28" s="10" t="str">
        <x:v>n.a.</x:v>
      </x:c>
      <x:c r="S28" s="4" t="str">
        <x:v>仅局部窗口</x:v>
      </x:c>
      <x:c r="T28" s="4" t="str">
        <x:v>局部重放</x:v>
      </x:c>
      <x:c r="U28" s="4" t="str"/>
      <x:c r="V28" s="11" t="str">
        <x:v>n.a.</x:v>
      </x:c>
      <x:c r="W28" s="4" t="str">
        <x:v>减步短重放；15.9662–16.2139%，非完整路径</x:v>
      </x:c>
      <x:c r="X28" s="4" t="str">
        <x:v>/home/xuehu/projects/tpms_jax/validation/mechanism_20261007_r17/short_dt_replay/accepted_path.json</x:v>
      </x:c>
    </x:row>
    <x:row r="29" ht="25" customHeight="1">
      <x:c r="A29" s="4" t="str">
        <x:v>04-S2</x:v>
      </x:c>
      <x:c r="B29" s="4" t="str">
        <x:v>diverse_04</x:v>
      </x:c>
      <x:c r="C29" s="4" t="str">
        <x:v>Abaqus/Explicit</x:v>
      </x:c>
      <x:c r="D29" s="9" t="n">
        <x:v>2</x:v>
      </x:c>
      <x:c r="E29" s="9" t="n">
        <x:v>0.5</x:v>
      </x:c>
      <x:c r="F29" s="4" t="str">
        <x:v>n.a.</x:v>
      </x:c>
      <x:c r="G29" s="4" t="str">
        <x:v>S3R</x:v>
      </x:c>
      <x:c r="H29" s="4" t="n">
        <x:v>5</x:v>
      </x:c>
      <x:c r="I29" s="4" t="str">
        <x:v>中面壳</x:v>
      </x:c>
      <x:c r="J29" s="10" t="str">
        <x:v>n.a.</x:v>
      </x:c>
      <x:c r="K29" s="10" t="str">
        <x:v>NH壳</x:v>
      </x:c>
      <x:c r="L29" s="10" t="n">
        <x:v>0</x:v>
      </x:c>
      <x:c r="M29" s="10" t="n">
        <x:v>20</x:v>
      </x:c>
      <x:c r="N29" s="10" t="n">
        <x:v>12.190046310424805</x:v>
      </x:c>
      <x:c r="O29" s="10" t="n">
        <x:v>5.340913772583008</x:v>
      </x:c>
      <x:c r="P29" s="4" t="str">
        <x:v>已观察</x:v>
      </x:c>
      <x:c r="Q29" s="10" t="n">
        <x:v>1.4397775270609918</x:v>
      </x:c>
      <x:c r="R29" s="10" t="n">
        <x:v>1.4830720192193765</x:v>
      </x:c>
      <x:c r="S29" s="4" t="str">
        <x:v>完整20%+保载</x:v>
      </x:c>
      <x:c r="T29" s="4" t="str">
        <x:v>壳速率</x:v>
      </x:c>
      <x:c r="U29" s="4" t="str">
        <x:v>global_energy_drift_le_1pct; most_loading_time_KE_below_5pct; terminal_KE_below_5pct; artificial_energy_le_5pct_work</x:v>
      </x:c>
      <x:c r="V29" s="11" t="str">
        <x:v>n.a.</x:v>
      </x:c>
      <x:c r="W29" s="4" t="str">
        <x:v>T2ms；原质量检查未过</x:v>
      </x:c>
      <x:c r="X29" s="4" t="str">
        <x:v>/home/xuehu/projects/tpms_jax/validation/n64_resolution_20261008_r28/abaqus/explicit_T0p002/results/shell.json</x:v>
      </x:c>
    </x:row>
    <x:row r="30" ht="25" customHeight="1">
      <x:c r="A30" s="4" t="str">
        <x:v>04-J64</x:v>
      </x:c>
      <x:c r="B30" s="4" t="str">
        <x:v>diverse_04</x:v>
      </x:c>
      <x:c r="C30" s="4" t="str">
        <x:v>JAX/Explicit</x:v>
      </x:c>
      <x:c r="D30" s="9" t="n">
        <x:v>2</x:v>
      </x:c>
      <x:c r="E30" s="9" t="n">
        <x:v>0.5</x:v>
      </x:c>
      <x:c r="F30" s="4" t="n">
        <x:v>64</x:v>
      </x:c>
      <x:c r="G30" s="4" t="str">
        <x:v>HEX27</x:v>
      </x:c>
      <x:c r="H30" s="4" t="n">
        <x:v>27</x:v>
      </x:c>
      <x:c r="I30" s="4" t="str">
        <x:v>平滑</x:v>
      </x:c>
      <x:c r="J30" s="10" t="n">
        <x:v>0.05</x:v>
      </x:c>
      <x:c r="K30" s="10" t="str">
        <x:v>C²</x:v>
      </x:c>
      <x:c r="L30" s="10" t="n">
        <x:v>0</x:v>
      </x:c>
      <x:c r="M30" s="10" t="n">
        <x:v>14.73204908506258</x:v>
      </x:c>
      <x:c r="N30" s="10" t="n">
        <x:v>13.981702706174982</x:v>
      </x:c>
      <x:c r="O30" s="10" t="n">
        <x:v>6.49489265343528</x:v>
      </x:c>
      <x:c r="P30" s="4" t="str">
        <x:v>已观察</x:v>
      </x:c>
      <x:c r="Q30" s="10" t="n">
        <x:v>5.00671699957642</x:v>
      </x:c>
      <x:c r="R30" s="10" t="str">
        <x:v>n.a.</x:v>
      </x:c>
      <x:c r="S30" s="4" t="str">
        <x:v>步长底线停止</x:v>
      </x:c>
      <x:c r="T30" s="4" t="str">
        <x:v>主路径</x:v>
      </x:c>
      <x:c r="U30" s="4" t="str"/>
      <x:c r="V30" s="11" t="n">
        <x:v>103.7298626241507</x:v>
      </x:c>
      <x:c r="W30" s="4" t="str">
        <x:v>平滑N64 T2ms；14.7320%触原步长底线</x:v>
      </x:c>
      <x:c r="X30" s="4" t="str">
        <x:v>/home/xuehu/projects/tpms_jax/validation/n64_resolution_20261008_r28/full_from_zero/accepted_path.json</x:v>
      </x:c>
    </x:row>
    <x:row r="31" ht="25" customHeight="1">
      <x:c r="A31" s="4" t="str">
        <x:v>28-OV</x:v>
      </x:c>
      <x:c r="B31" s="4" t="str">
        <x:v>diverse_28</x:v>
      </x:c>
      <x:c r="C31" s="4" t="str">
        <x:v>JAX/Explicit</x:v>
      </x:c>
      <x:c r="D31" s="9" t="n">
        <x:v>4</x:v>
      </x:c>
      <x:c r="E31" s="9" t="n">
        <x:v>0.5</x:v>
      </x:c>
      <x:c r="F31" s="4" t="n">
        <x:v>32</x:v>
      </x:c>
      <x:c r="G31" s="4" t="str">
        <x:v>HEX27</x:v>
      </x:c>
      <x:c r="H31" s="4" t="n">
        <x:v>27</x:v>
      </x:c>
      <x:c r="I31" s="4" t="str">
        <x:v>平滑</x:v>
      </x:c>
      <x:c r="J31" s="10" t="n">
        <x:v>0.05</x:v>
      </x:c>
      <x:c r="K31" s="10" t="str">
        <x:v>旧客观虚域</x:v>
      </x:c>
      <x:c r="L31" s="10" t="n">
        <x:v>0</x:v>
      </x:c>
      <x:c r="M31" s="10" t="n">
        <x:v>19.999999996704318</x:v>
      </x:c>
      <x:c r="N31" s="10" t="n">
        <x:v>10.318311216977074</x:v>
      </x:c>
      <x:c r="O31" s="10" t="n">
        <x:v>2.3787473992507953</x:v>
      </x:c>
      <x:c r="P31" s="4" t="str">
        <x:v>已观察</x:v>
      </x:c>
      <x:c r="Q31" s="10" t="n">
        <x:v>1.9564147704860257</x:v>
      </x:c>
      <x:c r="R31" s="10" t="n">
        <x:v>1.9572363517959137</x:v>
      </x:c>
      <x:c r="S31" s="4" t="str">
        <x:v>完整20%+保载</x:v>
      </x:c>
      <x:c r="T31" s="4" t="str">
        <x:v>主路径</x:v>
      </x:c>
      <x:c r="U31" s="4" t="str"/>
      <x:c r="V31" s="11" t="n">
        <x:v>11.167969515832374</x:v>
      </x:c>
      <x:c r="W31" s="4" t="str">
        <x:v>旧objective_void；20%完成但混合尾域6点失败</x:v>
      </x:c>
      <x:c r="X31" s="4" t="str">
        <x:v>/home/xuehu/projects/tpms_jax/validation/objective_path_20261006_r11/T0p004/result.json</x:v>
      </x:c>
    </x:row>
    <x:row r="32" ht="25" customHeight="1">
      <x:c r="A32" s="4" t="str">
        <x:v>04-Fill</x:v>
      </x:c>
      <x:c r="B32" s="4" t="str">
        <x:v>diverse_04</x:v>
      </x:c>
      <x:c r="C32" s="4" t="str">
        <x:v>Abaqus/Explicit</x:v>
      </x:c>
      <x:c r="D32" s="9" t="n">
        <x:v>4</x:v>
      </x:c>
      <x:c r="E32" s="9" t="n">
        <x:v>0.5</x:v>
      </x:c>
      <x:c r="F32" s="4" t="n">
        <x:v>32</x:v>
      </x:c>
      <x:c r="G32" s="4" t="str">
        <x:v>S3R+C3D8R</x:v>
      </x:c>
      <x:c r="H32" s="4" t="str">
        <x:v>n.a.</x:v>
      </x:c>
      <x:c r="I32" s="4" t="str">
        <x:v>中面壳</x:v>
      </x:c>
      <x:c r="J32" s="10" t="str">
        <x:v>n.a.</x:v>
      </x:c>
      <x:c r="K32" s="10" t="str">
        <x:v>近零填料</x:v>
      </x:c>
      <x:c r="L32" s="10" t="n">
        <x:v>0</x:v>
      </x:c>
      <x:c r="M32" s="10" t="n">
        <x:v>8.33652377128601</x:v>
      </x:c>
      <x:c r="N32" s="10" t="n">
        <x:v>8.33652377128601</x:v>
      </x:c>
      <x:c r="O32" s="10" t="n">
        <x:v>3.8254809379577637</x:v>
      </x:c>
      <x:c r="P32" s="4" t="str">
        <x:v>未观察</x:v>
      </x:c>
      <x:c r="Q32" s="10" t="n">
        <x:v>3.8254809379577637</x:v>
      </x:c>
      <x:c r="R32" s="10" t="str">
        <x:v>n.a.</x:v>
      </x:c>
      <x:c r="S32" s="4" t="str">
        <x:v>填料畸变失败</x:v>
      </x:c>
      <x:c r="T32" s="4" t="str">
        <x:v>壳填料</x:v>
      </x:c>
      <x:c r="U32" s="4" t="str"/>
      <x:c r="V32" s="11" t="str">
        <x:v>n.a.</x:v>
      </x:c>
      <x:c r="W32" s="4" t="str">
        <x:v>嵌入S3R+C3D8R近零填料；8.35%失败；非JAX等价</x:v>
      </x:c>
      <x:c r="X32" s="4" t="str">
        <x:v>/home/xuehu/projects/tpms_jax/validation/shell_fill_diagnostic_20261007_r25/results/result_gauge_verified.json</x:v>
      </x:c>
    </x:row>
    <x:row r="33" ht="25" customHeight="1">
      <x:c r="A33" s="4" t="str">
        <x:v>04-S4</x:v>
      </x:c>
      <x:c r="B33" s="4" t="str">
        <x:v>diverse_04</x:v>
      </x:c>
      <x:c r="C33" s="4" t="str">
        <x:v>Abaqus/Explicit</x:v>
      </x:c>
      <x:c r="D33" s="9" t="n">
        <x:v>4</x:v>
      </x:c>
      <x:c r="E33" s="9" t="n">
        <x:v>0.5</x:v>
      </x:c>
      <x:c r="F33" s="4" t="str">
        <x:v>n.a.</x:v>
      </x:c>
      <x:c r="G33" s="4" t="str">
        <x:v>S3R</x:v>
      </x:c>
      <x:c r="H33" s="4" t="n">
        <x:v>5</x:v>
      </x:c>
      <x:c r="I33" s="4" t="str">
        <x:v>中面壳</x:v>
      </x:c>
      <x:c r="J33" s="10" t="str">
        <x:v>n.a.</x:v>
      </x:c>
      <x:c r="K33" s="10" t="str">
        <x:v>NH壳</x:v>
      </x:c>
      <x:c r="L33" s="10" t="n">
        <x:v>0</x:v>
      </x:c>
      <x:c r="M33" s="10" t="n">
        <x:v>20</x:v>
      </x:c>
      <x:c r="N33" s="10" t="n">
        <x:v>11.82407021522522</x:v>
      </x:c>
      <x:c r="O33" s="10" t="n">
        <x:v>5.229988098144531</x:v>
      </x:c>
      <x:c r="P33" s="4" t="str">
        <x:v>已观察</x:v>
      </x:c>
      <x:c r="Q33" s="10" t="n">
        <x:v>1.5718765918861466</x:v>
      </x:c>
      <x:c r="R33" s="10" t="n">
        <x:v>1.3196162033255356</x:v>
      </x:c>
      <x:c r="S33" s="4" t="str">
        <x:v>完整20%+保载</x:v>
      </x:c>
      <x:c r="T33" s="4" t="str">
        <x:v>壳速率</x:v>
      </x:c>
      <x:c r="U33" s="4" t="str">
        <x:v>global_energy_drift_le_1pct; most_loading_time_KE_below_5pct; terminal_KE_below_5pct; artificial_energy_le_5pct_work</x:v>
      </x:c>
      <x:c r="V33" s="11" t="str">
        <x:v>n.a.</x:v>
      </x:c>
      <x:c r="W33" s="4" t="str">
        <x:v>T4ms；原能量/惯性/人工能筛查未过</x:v>
      </x:c>
      <x:c r="X33" s="4" t="str">
        <x:v>/home/xuehu/projects/tpms_jax/validation/shell_rate_20261007_r20/abaqus/explicit_T0p004/results/shell.json</x:v>
      </x:c>
    </x:row>
    <x:row r="34" ht="25" customHeight="1">
      <x:c r="A34" s="4" t="str">
        <x:v>04-J18</x:v>
      </x:c>
      <x:c r="B34" s="4" t="str">
        <x:v>diverse_04</x:v>
      </x:c>
      <x:c r="C34" s="4" t="str">
        <x:v>JAX/Explicit</x:v>
      </x:c>
      <x:c r="D34" s="9" t="n">
        <x:v>4</x:v>
      </x:c>
      <x:c r="E34" s="9" t="n">
        <x:v>0.5</x:v>
      </x:c>
      <x:c r="F34" s="4" t="n">
        <x:v>32</x:v>
      </x:c>
      <x:c r="G34" s="4" t="str">
        <x:v>HEX27</x:v>
      </x:c>
      <x:c r="H34" s="4" t="n">
        <x:v>27</x:v>
      </x:c>
      <x:c r="I34" s="4" t="str">
        <x:v>平滑</x:v>
      </x:c>
      <x:c r="J34" s="10" t="n">
        <x:v>0.05</x:v>
      </x:c>
      <x:c r="K34" s="10" t="str">
        <x:v>C²</x:v>
      </x:c>
      <x:c r="L34" s="10" t="n">
        <x:v>0</x:v>
      </x:c>
      <x:c r="M34" s="10" t="n">
        <x:v>17.536302435107093</x:v>
      </x:c>
      <x:c r="N34" s="10" t="n">
        <x:v>15.940872539154782</x:v>
      </x:c>
      <x:c r="O34" s="10" t="n">
        <x:v>7.072391495989786</x:v>
      </x:c>
      <x:c r="P34" s="4" t="str">
        <x:v>已观察</x:v>
      </x:c>
      <x:c r="Q34" s="10" t="n">
        <x:v>1.3936672102323806</x:v>
      </x:c>
      <x:c r="R34" s="10" t="str">
        <x:v>n.a.</x:v>
      </x:c>
      <x:c r="S34" s="4" t="str">
        <x:v>预算停止</x:v>
      </x:c>
      <x:c r="T34" s="4" t="str">
        <x:v>主路径</x:v>
      </x:c>
      <x:c r="U34" s="4" t="str"/>
      <x:c r="V34" s="11" t="n">
        <x:v>25.02046357251626</x:v>
      </x:c>
      <x:c r="W34" s="4" t="str">
        <x:v>状态步长控制；17.5363%预算停止</x:v>
      </x:c>
      <x:c r="X34" s="4" t="str">
        <x:v>/home/xuehu/projects/tpms_jax/validation/step_control_20261007_r18/controlled_forward/accepted_path.json</x:v>
      </x:c>
    </x:row>
    <x:row r="35" ht="25" customHeight="1">
      <x:c r="A35" s="4" t="str">
        <x:v>28-t45</x:v>
      </x:c>
      <x:c r="B35" s="4" t="str">
        <x:v>diverse_28</x:v>
      </x:c>
      <x:c r="C35" s="4" t="str">
        <x:v>JAX/Explicit</x:v>
      </x:c>
      <x:c r="D35" s="9" t="n">
        <x:v>4</x:v>
      </x:c>
      <x:c r="E35" s="9" t="n">
        <x:v>0.45</x:v>
      </x:c>
      <x:c r="F35" s="4" t="n">
        <x:v>32</x:v>
      </x:c>
      <x:c r="G35" s="4" t="str">
        <x:v>HEX27</x:v>
      </x:c>
      <x:c r="H35" s="4" t="n">
        <x:v>27</x:v>
      </x:c>
      <x:c r="I35" s="4" t="str">
        <x:v>平滑</x:v>
      </x:c>
      <x:c r="J35" s="10" t="n">
        <x:v>0.05</x:v>
      </x:c>
      <x:c r="K35" s="10" t="str">
        <x:v>C²</x:v>
      </x:c>
      <x:c r="L35" s="10" t="n">
        <x:v>0</x:v>
      </x:c>
      <x:c r="M35" s="10" t="n">
        <x:v>19.999999996704318</x:v>
      </x:c>
      <x:c r="N35" s="10" t="n">
        <x:v>9.349317632830365</x:v>
      </x:c>
      <x:c r="O35" s="10" t="n">
        <x:v>1.8866949062888758</x:v>
      </x:c>
      <x:c r="P35" s="4" t="str">
        <x:v>已观察</x:v>
      </x:c>
      <x:c r="Q35" s="10" t="n">
        <x:v>1.481811301319958</x:v>
      </x:c>
      <x:c r="R35" s="10" t="n">
        <x:v>1.4803725896455713</x:v>
      </x:c>
      <x:c r="S35" s="4" t="str">
        <x:v>完整20%+保载</x:v>
      </x:c>
      <x:c r="T35" s="4" t="str">
        <x:v>厚度范围</x:v>
      </x:c>
      <x:c r="U35" s="4" t="str"/>
      <x:c r="V35" s="11" t="n">
        <x:v>10.705409287799073</x:v>
      </x:c>
      <x:c r="W35" s="4" t="str">
        <x:v>t0.45mm；C²完整20%+保载</x:v>
      </x:c>
      <x:c r="X35" s="4" t="str">
        <x:v>/home/xuehu/projects/tpms_jax/validation/thickness_range_20261006_r13/t0p45/T0p004/result.json</x:v>
      </x:c>
    </x:row>
    <x:row r="36" ht="25" customHeight="1">
      <x:c r="A36" s="4" t="str">
        <x:v>28-S45</x:v>
      </x:c>
      <x:c r="B36" s="4" t="str">
        <x:v>diverse_28</x:v>
      </x:c>
      <x:c r="C36" s="4" t="str">
        <x:v>Abaqus/Explicit</x:v>
      </x:c>
      <x:c r="D36" s="9" t="n">
        <x:v>40</x:v>
      </x:c>
      <x:c r="E36" s="9" t="n">
        <x:v>0.45</x:v>
      </x:c>
      <x:c r="F36" s="4" t="str">
        <x:v>n.a.</x:v>
      </x:c>
      <x:c r="G36" s="4" t="str">
        <x:v>S3R</x:v>
      </x:c>
      <x:c r="H36" s="4" t="n">
        <x:v>5</x:v>
      </x:c>
      <x:c r="I36" s="4" t="str">
        <x:v>中面壳</x:v>
      </x:c>
      <x:c r="J36" s="10" t="str">
        <x:v>n.a.</x:v>
      </x:c>
      <x:c r="K36" s="10" t="str">
        <x:v>NH壳</x:v>
      </x:c>
      <x:c r="L36" s="10" t="n">
        <x:v>0</x:v>
      </x:c>
      <x:c r="M36" s="10" t="n">
        <x:v>20</x:v>
      </x:c>
      <x:c r="N36" s="10" t="n">
        <x:v>9.647756814956665</x:v>
      </x:c>
      <x:c r="O36" s="10" t="n">
        <x:v>1.789782166481018</x:v>
      </x:c>
      <x:c r="P36" s="4" t="str">
        <x:v>已观察</x:v>
      </x:c>
      <x:c r="Q36" s="10" t="n">
        <x:v>1.3857337407017802</x:v>
      </x:c>
      <x:c r="R36" s="10" t="n">
        <x:v>1.3857341570189319</x:v>
      </x:c>
      <x:c r="S36" s="4" t="str">
        <x:v>完整20%+保载</x:v>
      </x:c>
      <x:c r="T36" s="4" t="str">
        <x:v>厚度壳</x:v>
      </x:c>
      <x:c r="U36" s="4" t="str">
        <x:v>global_energy_drift_le_1pct</x:v>
      </x:c>
      <x:c r="V36" s="11" t="str">
        <x:v>n.a.</x:v>
      </x:c>
      <x:c r="W36" s="4" t="str">
        <x:v>t0.45mm T40ms</x:v>
      </x:c>
      <x:c r="X36" s="4" t="str">
        <x:v>/home/xuehu/projects/tpms_jax/validation/thickness_range_20261006_r13/t0p45/abaqus/explicit_T0p040/shell.json</x:v>
      </x:c>
    </x:row>
    <x:row r="37" ht="25" customHeight="1">
      <x:c r="A37" s="4" t="str">
        <x:v>28-t55</x:v>
      </x:c>
      <x:c r="B37" s="4" t="str">
        <x:v>diverse_28</x:v>
      </x:c>
      <x:c r="C37" s="4" t="str">
        <x:v>JAX/Explicit</x:v>
      </x:c>
      <x:c r="D37" s="9" t="n">
        <x:v>4</x:v>
      </x:c>
      <x:c r="E37" s="9" t="n">
        <x:v>0.55</x:v>
      </x:c>
      <x:c r="F37" s="4" t="n">
        <x:v>32</x:v>
      </x:c>
      <x:c r="G37" s="4" t="str">
        <x:v>HEX27</x:v>
      </x:c>
      <x:c r="H37" s="4" t="n">
        <x:v>27</x:v>
      </x:c>
      <x:c r="I37" s="4" t="str">
        <x:v>平滑</x:v>
      </x:c>
      <x:c r="J37" s="10" t="n">
        <x:v>0.05</x:v>
      </x:c>
      <x:c r="K37" s="10" t="str">
        <x:v>C²</x:v>
      </x:c>
      <x:c r="L37" s="10" t="n">
        <x:v>0</x:v>
      </x:c>
      <x:c r="M37" s="10" t="n">
        <x:v>19.999999996704318</x:v>
      </x:c>
      <x:c r="N37" s="10" t="n">
        <x:v>11.60323033341619</x:v>
      </x:c>
      <x:c r="O37" s="10" t="n">
        <x:v>2.960063249947605</x:v>
      </x:c>
      <x:c r="P37" s="4" t="str">
        <x:v>已观察</x:v>
      </x:c>
      <x:c r="Q37" s="10" t="n">
        <x:v>2.5423791891628715</x:v>
      </x:c>
      <x:c r="R37" s="10" t="n">
        <x:v>2.5448892203940394</x:v>
      </x:c>
      <x:c r="S37" s="4" t="str">
        <x:v>完整20%+保载</x:v>
      </x:c>
      <x:c r="T37" s="4" t="str">
        <x:v>厚度范围</x:v>
      </x:c>
      <x:c r="U37" s="4" t="str"/>
      <x:c r="V37" s="11" t="n">
        <x:v>10.734722996066557</x:v>
      </x:c>
      <x:c r="W37" s="4" t="str">
        <x:v>t0.55mm；C²完整20%+保载</x:v>
      </x:c>
      <x:c r="X37" s="4" t="str">
        <x:v>/home/xuehu/projects/tpms_jax/validation/thickness_range_20261006_r13/t0p55/T0p004/result.json</x:v>
      </x:c>
    </x:row>
    <x:row r="38" ht="25" customHeight="1">
      <x:c r="A38" s="4" t="str">
        <x:v>28-S55</x:v>
      </x:c>
      <x:c r="B38" s="4" t="str">
        <x:v>diverse_28</x:v>
      </x:c>
      <x:c r="C38" s="4" t="str">
        <x:v>Abaqus/Explicit</x:v>
      </x:c>
      <x:c r="D38" s="9" t="n">
        <x:v>40</x:v>
      </x:c>
      <x:c r="E38" s="9" t="n">
        <x:v>0.55</x:v>
      </x:c>
      <x:c r="F38" s="4" t="str">
        <x:v>n.a.</x:v>
      </x:c>
      <x:c r="G38" s="4" t="str">
        <x:v>S3R</x:v>
      </x:c>
      <x:c r="H38" s="4" t="n">
        <x:v>5</x:v>
      </x:c>
      <x:c r="I38" s="4" t="str">
        <x:v>中面壳</x:v>
      </x:c>
      <x:c r="J38" s="10" t="str">
        <x:v>n.a.</x:v>
      </x:c>
      <x:c r="K38" s="10" t="str">
        <x:v>NH壳</x:v>
      </x:c>
      <x:c r="L38" s="10" t="n">
        <x:v>0</x:v>
      </x:c>
      <x:c r="M38" s="10" t="n">
        <x:v>20</x:v>
      </x:c>
      <x:c r="N38" s="10" t="n">
        <x:v>11.45664095878601</x:v>
      </x:c>
      <x:c r="O38" s="10" t="n">
        <x:v>2.751532793045044</x:v>
      </x:c>
      <x:c r="P38" s="4" t="str">
        <x:v>已观察</x:v>
      </x:c>
      <x:c r="Q38" s="10" t="n">
        <x:v>2.34870379213281</x:v>
      </x:c>
      <x:c r="R38" s="10" t="n">
        <x:v>2.3487035795604823</x:v>
      </x:c>
      <x:c r="S38" s="4" t="str">
        <x:v>完整20%+保载</x:v>
      </x:c>
      <x:c r="T38" s="4" t="str">
        <x:v>厚度壳</x:v>
      </x:c>
      <x:c r="U38" s="4" t="str">
        <x:v>global_energy_drift_le_1pct</x:v>
      </x:c>
      <x:c r="V38" s="11" t="str">
        <x:v>n.a.</x:v>
      </x:c>
      <x:c r="W38" s="4" t="str">
        <x:v>t0.55mm T40ms</x:v>
      </x:c>
      <x:c r="X38" s="4" t="str">
        <x:v>/home/xuehu/projects/tpms_jax/validation/thickness_range_20261006_r13/t0p55/abaqus/explicit_T0p040/shell.json</x:v>
      </x:c>
    </x:row>
    <x:row r="39" ht="25" customHeight="1">
      <x:c r="A39" s="4" t="str">
        <x:v>28-ST1</x:v>
      </x:c>
      <x:c r="B39" s="4" t="str">
        <x:v>diverse_28</x:v>
      </x:c>
      <x:c r="C39" s="4" t="str">
        <x:v>Abaqus/Standard</x:v>
      </x:c>
      <x:c r="D39" s="9" t="str">
        <x:v>n.a.</x:v>
      </x:c>
      <x:c r="E39" s="9" t="n">
        <x:v>0.5</x:v>
      </x:c>
      <x:c r="F39" s="4" t="str">
        <x:v>n.a.</x:v>
      </x:c>
      <x:c r="G39" s="4" t="str">
        <x:v>S3R</x:v>
      </x:c>
      <x:c r="H39" s="4" t="n">
        <x:v>5</x:v>
      </x:c>
      <x:c r="I39" s="4" t="str">
        <x:v>中面壳</x:v>
      </x:c>
      <x:c r="J39" s="10" t="str">
        <x:v>n.a.</x:v>
      </x:c>
      <x:c r="K39" s="10" t="str">
        <x:v>NH壳</x:v>
      </x:c>
      <x:c r="L39" s="10" t="n">
        <x:v>0.04999999888241291</x:v>
      </x:c>
      <x:c r="M39" s="10" t="n">
        <x:v>1.0000000149011612</x:v>
      </x:c>
      <x:c r="N39" s="10" t="n">
        <x:v>1.0000000149011612</x:v>
      </x:c>
      <x:c r="O39" s="10" t="n">
        <x:v>0.3693266212940216</x:v>
      </x:c>
      <x:c r="P39" s="4" t="str">
        <x:v>未观察</x:v>
      </x:c>
      <x:c r="Q39" s="10" t="n">
        <x:v>0.3693266212940216</x:v>
      </x:c>
      <x:c r="R39" s="10" t="str">
        <x:v>n.a.</x:v>
      </x:c>
      <x:c r="S39" s="4" t="str">
        <x:v>完成已设定窗口</x:v>
      </x:c>
      <x:c r="T39" s="4" t="str">
        <x:v>早期Standard</x:v>
      </x:c>
      <x:c r="U39" s="4" t="str"/>
      <x:c r="V39" s="11" t="str">
        <x:v>n.a.</x:v>
      </x:c>
      <x:c r="W39" s="4" t="str">
        <x:v>1%静力路径</x:v>
      </x:c>
      <x:c r="X39" s="4" t="str">
        <x:v>/home/xuehu/projects/tpms_jax/validation/thin_target_20261004_r5/step3_xyz/a0p010000/shell.json</x:v>
      </x:c>
    </x:row>
    <x:row r="40" ht="25" customHeight="1">
      <x:c r="A40" s="4" t="str">
        <x:v>28-ST5</x:v>
      </x:c>
      <x:c r="B40" s="4" t="str">
        <x:v>diverse_28</x:v>
      </x:c>
      <x:c r="C40" s="4" t="str">
        <x:v>Abaqus/Standard</x:v>
      </x:c>
      <x:c r="D40" s="9" t="str">
        <x:v>n.a.</x:v>
      </x:c>
      <x:c r="E40" s="9" t="n">
        <x:v>0.5</x:v>
      </x:c>
      <x:c r="F40" s="4" t="str">
        <x:v>n.a.</x:v>
      </x:c>
      <x:c r="G40" s="4" t="str">
        <x:v>S3R</x:v>
      </x:c>
      <x:c r="H40" s="4" t="n">
        <x:v>5</x:v>
      </x:c>
      <x:c r="I40" s="4" t="str">
        <x:v>中面壳</x:v>
      </x:c>
      <x:c r="J40" s="10" t="str">
        <x:v>n.a.</x:v>
      </x:c>
      <x:c r="K40" s="10" t="str">
        <x:v>NH壳</x:v>
      </x:c>
      <x:c r="L40" s="10" t="n">
        <x:v>0.04999999888241291</x:v>
      </x:c>
      <x:c r="M40" s="10" t="n">
        <x:v>5</x:v>
      </x:c>
      <x:c r="N40" s="10" t="n">
        <x:v>5</x:v>
      </x:c>
      <x:c r="O40" s="10" t="n">
        <x:v>1.6124645471572876</x:v>
      </x:c>
      <x:c r="P40" s="4" t="str">
        <x:v>未观察</x:v>
      </x:c>
      <x:c r="Q40" s="10" t="n">
        <x:v>1.6124645471572876</x:v>
      </x:c>
      <x:c r="R40" s="10" t="str">
        <x:v>n.a.</x:v>
      </x:c>
      <x:c r="S40" s="4" t="str">
        <x:v>完成已设定窗口</x:v>
      </x:c>
      <x:c r="T40" s="4" t="str">
        <x:v>早期Standard</x:v>
      </x:c>
      <x:c r="U40" s="4" t="str"/>
      <x:c r="V40" s="11" t="str">
        <x:v>n.a.</x:v>
      </x:c>
      <x:c r="W40" s="4" t="str">
        <x:v>5%静力路径</x:v>
      </x:c>
      <x:c r="X40" s="4" t="str">
        <x:v>/home/xuehu/projects/tpms_jax/validation/thin_target_20261004_r5/step3_xyz/a0p050000/shell.json</x:v>
      </x:c>
    </x:row>
    <x:row r="41" ht="25" customHeight="1">
      <x:c r="A41" s="4" t="str">
        <x:v>28-ST10</x:v>
      </x:c>
      <x:c r="B41" s="4" t="str">
        <x:v>diverse_28</x:v>
      </x:c>
      <x:c r="C41" s="4" t="str">
        <x:v>Abaqus/Standard</x:v>
      </x:c>
      <x:c r="D41" s="9" t="str">
        <x:v>n.a.</x:v>
      </x:c>
      <x:c r="E41" s="9" t="n">
        <x:v>0.5</x:v>
      </x:c>
      <x:c r="F41" s="4" t="str">
        <x:v>n.a.</x:v>
      </x:c>
      <x:c r="G41" s="4" t="str">
        <x:v>S3R</x:v>
      </x:c>
      <x:c r="H41" s="4" t="n">
        <x:v>5</x:v>
      </x:c>
      <x:c r="I41" s="4" t="str">
        <x:v>中面壳</x:v>
      </x:c>
      <x:c r="J41" s="10" t="str">
        <x:v>n.a.</x:v>
      </x:c>
      <x:c r="K41" s="10" t="str">
        <x:v>NH壳</x:v>
      </x:c>
      <x:c r="L41" s="10" t="n">
        <x:v>0.04999999888241291</x:v>
      </x:c>
      <x:c r="M41" s="10" t="n">
        <x:v>10</x:v>
      </x:c>
      <x:c r="N41" s="10" t="n">
        <x:v>10</x:v>
      </x:c>
      <x:c r="O41" s="10" t="n">
        <x:v>2.2526445388793945</x:v>
      </x:c>
      <x:c r="P41" s="4" t="str">
        <x:v>未观察</x:v>
      </x:c>
      <x:c r="Q41" s="10" t="n">
        <x:v>2.2526445388793945</x:v>
      </x:c>
      <x:c r="R41" s="10" t="str">
        <x:v>n.a.</x:v>
      </x:c>
      <x:c r="S41" s="4" t="str">
        <x:v>完成已设定窗口</x:v>
      </x:c>
      <x:c r="T41" s="4" t="str">
        <x:v>早期Standard</x:v>
      </x:c>
      <x:c r="U41" s="4" t="str">
        <x:v>relative_total_energy_work_le_1pct</x:v>
      </x:c>
      <x:c r="V41" s="11" t="str">
        <x:v>n.a.</x:v>
      </x:c>
      <x:c r="W41" s="4" t="str">
        <x:v>10%路径；原能量检查未过</x:v>
      </x:c>
      <x:c r="X41" s="4" t="str">
        <x:v>/home/xuehu/projects/tpms_jax/validation/thin_target_20261004_r5/step3_xyz/a0p100000/shell.json</x:v>
      </x:c>
    </x:row>
    <x:row r="42" ht="25" customHeight="1">
      <x:c r="A42" s="4" t="str">
        <x:v>28-ST5old</x:v>
      </x:c>
      <x:c r="B42" s="4" t="str">
        <x:v>diverse_28</x:v>
      </x:c>
      <x:c r="C42" s="4" t="str">
        <x:v>Abaqus/Standard</x:v>
      </x:c>
      <x:c r="D42" s="9" t="str">
        <x:v>n.a.</x:v>
      </x:c>
      <x:c r="E42" s="9" t="n">
        <x:v>0.5</x:v>
      </x:c>
      <x:c r="F42" s="4" t="str">
        <x:v>n.a.</x:v>
      </x:c>
      <x:c r="G42" s="4" t="str">
        <x:v>S3R</x:v>
      </x:c>
      <x:c r="H42" s="4" t="n">
        <x:v>5</x:v>
      </x:c>
      <x:c r="I42" s="4" t="str">
        <x:v>中面壳</x:v>
      </x:c>
      <x:c r="J42" s="10" t="str">
        <x:v>n.a.</x:v>
      </x:c>
      <x:c r="K42" s="10" t="str">
        <x:v>NH壳</x:v>
      </x:c>
      <x:c r="L42" s="10" t="n">
        <x:v>0.04999999888241291</x:v>
      </x:c>
      <x:c r="M42" s="10" t="n">
        <x:v>5</x:v>
      </x:c>
      <x:c r="N42" s="10" t="n">
        <x:v>5</x:v>
      </x:c>
      <x:c r="O42" s="10" t="n">
        <x:v>1.612471103668213</x:v>
      </x:c>
      <x:c r="P42" s="4" t="str">
        <x:v>未观察</x:v>
      </x:c>
      <x:c r="Q42" s="10" t="n">
        <x:v>1.612471103668213</x:v>
      </x:c>
      <x:c r="R42" s="10" t="str">
        <x:v>n.a.</x:v>
      </x:c>
      <x:c r="S42" s="4" t="str">
        <x:v>完成已设定窗口</x:v>
      </x:c>
      <x:c r="T42" s="4" t="str">
        <x:v>早期Standard</x:v>
      </x:c>
      <x:c r="U42" s="4" t="str">
        <x:v>XYZ_periodic_mm_le_1e-8; relative_total_energy_work_le_1e-3</x:v>
      </x:c>
      <x:c r="V42" s="11" t="str">
        <x:v>n.a.</x:v>
      </x:c>
      <x:c r="W42" s="4" t="str">
        <x:v>5%旧粗增量；原检查未过</x:v>
      </x:c>
      <x:c r="X42" s="4" t="str">
        <x:v>/home/xuehu/projects/tpms_jax/validation/thin_target_20261004_r5/step3_xyz/attempt1_a0p050000/shell.json</x:v>
      </x:c>
    </x:row>
    <x:row r="43" ht="25" customHeight="1">
      <x:c r="A43" s="4" t="str">
        <x:v>28-ST498old</x:v>
      </x:c>
      <x:c r="B43" s="4" t="str">
        <x:v>diverse_28</x:v>
      </x:c>
      <x:c r="C43" s="4" t="str">
        <x:v>Abaqus/Standard</x:v>
      </x:c>
      <x:c r="D43" s="9" t="str">
        <x:v>n.a.</x:v>
      </x:c>
      <x:c r="E43" s="9" t="n">
        <x:v>0.498</x:v>
      </x:c>
      <x:c r="F43" s="4" t="str">
        <x:v>n.a.</x:v>
      </x:c>
      <x:c r="G43" s="4" t="str">
        <x:v>S3R</x:v>
      </x:c>
      <x:c r="H43" s="4" t="n">
        <x:v>5</x:v>
      </x:c>
      <x:c r="I43" s="4" t="str">
        <x:v>中面壳</x:v>
      </x:c>
      <x:c r="J43" s="10" t="str">
        <x:v>n.a.</x:v>
      </x:c>
      <x:c r="K43" s="10" t="str">
        <x:v>NH壳</x:v>
      </x:c>
      <x:c r="L43" s="10" t="n">
        <x:v>0.04999999888241291</x:v>
      </x:c>
      <x:c r="M43" s="10" t="n">
        <x:v>1.0000000149011612</x:v>
      </x:c>
      <x:c r="N43" s="10" t="n">
        <x:v>1.0000000149011612</x:v>
      </x:c>
      <x:c r="O43" s="10" t="n">
        <x:v>0.36746782064437866</x:v>
      </x:c>
      <x:c r="P43" s="4" t="str">
        <x:v>未观察</x:v>
      </x:c>
      <x:c r="Q43" s="10" t="n">
        <x:v>0.36746782064437866</x:v>
      </x:c>
      <x:c r="R43" s="10" t="str">
        <x:v>n.a.</x:v>
      </x:c>
      <x:c r="S43" s="4" t="str">
        <x:v>完成已设定窗口</x:v>
      </x:c>
      <x:c r="T43" s="4" t="str">
        <x:v>早期Standard</x:v>
      </x:c>
      <x:c r="U43" s="4" t="str"/>
      <x:c r="V43" s="11" t="str">
        <x:v>n.a.</x:v>
      </x:c>
      <x:c r="W43" s="4" t="str">
        <x:v>t0.498mm旧输出；若重复仅在索引保留</x:v>
      </x:c>
      <x:c r="X43" s="4" t="str">
        <x:v>/home/xuehu/projects/tpms_jax/validation/thin_target_20261004_r5/step4_thickness_a01/attempt1_memory_t0p498000/shell.json</x:v>
      </x:c>
    </x:row>
    <x:row r="44" ht="25" customHeight="1">
      <x:c r="A44" s="4" t="str">
        <x:v>28-ST502</x:v>
      </x:c>
      <x:c r="B44" s="4" t="str">
        <x:v>diverse_28</x:v>
      </x:c>
      <x:c r="C44" s="4" t="str">
        <x:v>Abaqus/Standard</x:v>
      </x:c>
      <x:c r="D44" s="9" t="str">
        <x:v>n.a.</x:v>
      </x:c>
      <x:c r="E44" s="9" t="n">
        <x:v>0.502</x:v>
      </x:c>
      <x:c r="F44" s="4" t="str">
        <x:v>n.a.</x:v>
      </x:c>
      <x:c r="G44" s="4" t="str">
        <x:v>S3R</x:v>
      </x:c>
      <x:c r="H44" s="4" t="n">
        <x:v>5</x:v>
      </x:c>
      <x:c r="I44" s="4" t="str">
        <x:v>中面壳</x:v>
      </x:c>
      <x:c r="J44" s="10" t="str">
        <x:v>n.a.</x:v>
      </x:c>
      <x:c r="K44" s="10" t="str">
        <x:v>NH壳</x:v>
      </x:c>
      <x:c r="L44" s="10" t="n">
        <x:v>0.04999999888241291</x:v>
      </x:c>
      <x:c r="M44" s="10" t="n">
        <x:v>1.0000000149011612</x:v>
      </x:c>
      <x:c r="N44" s="10" t="n">
        <x:v>1.0000000149011612</x:v>
      </x:c>
      <x:c r="O44" s="10" t="n">
        <x:v>0.37118595838546753</x:v>
      </x:c>
      <x:c r="P44" s="4" t="str">
        <x:v>未观察</x:v>
      </x:c>
      <x:c r="Q44" s="10" t="n">
        <x:v>0.37118595838546753</x:v>
      </x:c>
      <x:c r="R44" s="10" t="str">
        <x:v>n.a.</x:v>
      </x:c>
      <x:c r="S44" s="4" t="str">
        <x:v>完成已设定窗口</x:v>
      </x:c>
      <x:c r="T44" s="4" t="str">
        <x:v>早期Standard</x:v>
      </x:c>
      <x:c r="U44" s="4" t="str"/>
      <x:c r="V44" s="11" t="str">
        <x:v>n.a.</x:v>
      </x:c>
      <x:c r="W44" s="4" t="str">
        <x:v>t0.502mm；1%路径</x:v>
      </x:c>
      <x:c r="X44" s="4" t="str">
        <x:v>/home/xuehu/projects/tpms_jax/validation/thin_target_20261004_r5/step4_thickness_a01/t0p502000/shell.json</x:v>
      </x:c>
    </x:row>
    <x:row r="45" ht="25" customHeight="1">
      <x:c r="A45" s="4" t="str">
        <x:v>28-C4</x:v>
      </x:c>
      <x:c r="B45" s="4" t="str">
        <x:v>diverse_28</x:v>
      </x:c>
      <x:c r="C45" s="4" t="str">
        <x:v>JAX/Explicit</x:v>
      </x:c>
      <x:c r="D45" s="9" t="n">
        <x:v>4</x:v>
      </x:c>
      <x:c r="E45" s="9" t="n">
        <x:v>0.5</x:v>
      </x:c>
      <x:c r="F45" s="4" t="n">
        <x:v>32</x:v>
      </x:c>
      <x:c r="G45" s="4" t="str">
        <x:v>HEX27</x:v>
      </x:c>
      <x:c r="H45" s="4" t="n">
        <x:v>27</x:v>
      </x:c>
      <x:c r="I45" s="4" t="str">
        <x:v>平滑</x:v>
      </x:c>
      <x:c r="J45" s="10" t="n">
        <x:v>0.05</x:v>
      </x:c>
      <x:c r="K45" s="10" t="str">
        <x:v>C²</x:v>
      </x:c>
      <x:c r="L45" s="10" t="n">
        <x:v>0</x:v>
      </x:c>
      <x:c r="M45" s="10" t="n">
        <x:v>19.999999996704318</x:v>
      </x:c>
      <x:c r="N45" s="10" t="n">
        <x:v>10.318311216977074</x:v>
      </x:c>
      <x:c r="O45" s="10" t="n">
        <x:v>2.3787473992508237</x:v>
      </x:c>
      <x:c r="P45" s="4" t="str">
        <x:v>已观察</x:v>
      </x:c>
      <x:c r="Q45" s="10" t="n">
        <x:v>1.9564147704501202</x:v>
      </x:c>
      <x:c r="R45" s="10" t="n">
        <x:v>1.9572363517829003</x:v>
      </x:c>
      <x:c r="S45" s="4" t="str">
        <x:v>完整20%+保载</x:v>
      </x:c>
      <x:c r="T45" s="4" t="str">
        <x:v>主路径</x:v>
      </x:c>
      <x:c r="U45" s="4" t="str"/>
      <x:c r="V45" s="11" t="n">
        <x:v>10.735590290901019</x:v>
      </x:c>
      <x:c r="W45" s="4" t="str">
        <x:v>当前C²核 T4ms；完整20%+保载</x:v>
      </x:c>
      <x:c r="X45" s="4" t="str">
        <x:v>/home/xuehu/projects/tpms_jax/validation/void_continuation_20261006_r12/T0p004/result.json</x:v>
      </x:c>
    </x:row>
    <x:row r="46" ht="25" customHeight="1">
      <x:c r="A46" s="4" t="str">
        <x:v>28-C8</x:v>
      </x:c>
      <x:c r="B46" s="4" t="str">
        <x:v>diverse_28</x:v>
      </x:c>
      <x:c r="C46" s="4" t="str">
        <x:v>JAX/Explicit</x:v>
      </x:c>
      <x:c r="D46" s="9" t="n">
        <x:v>8</x:v>
      </x:c>
      <x:c r="E46" s="9" t="n">
        <x:v>0.5</x:v>
      </x:c>
      <x:c r="F46" s="4" t="n">
        <x:v>32</x:v>
      </x:c>
      <x:c r="G46" s="4" t="str">
        <x:v>HEX27</x:v>
      </x:c>
      <x:c r="H46" s="4" t="n">
        <x:v>27</x:v>
      </x:c>
      <x:c r="I46" s="4" t="str">
        <x:v>平滑</x:v>
      </x:c>
      <x:c r="J46" s="10" t="n">
        <x:v>0.05</x:v>
      </x:c>
      <x:c r="K46" s="10" t="str">
        <x:v>C²</x:v>
      </x:c>
      <x:c r="L46" s="10" t="n">
        <x:v>0</x:v>
      </x:c>
      <x:c r="M46" s="10" t="n">
        <x:v>19.999999997799314</x:v>
      </x:c>
      <x:c r="N46" s="10" t="n">
        <x:v>10.641656690086416</x:v>
      </x:c>
      <x:c r="O46" s="10" t="n">
        <x:v>2.3842849178512164</x:v>
      </x:c>
      <x:c r="P46" s="4" t="str">
        <x:v>已观察</x:v>
      </x:c>
      <x:c r="Q46" s="10" t="n">
        <x:v>1.9568281045213305</x:v>
      </x:c>
      <x:c r="R46" s="10" t="n">
        <x:v>1.9569584202100196</x:v>
      </x:c>
      <x:c r="S46" s="4" t="str">
        <x:v>完整20%+保载</x:v>
      </x:c>
      <x:c r="T46" s="4" t="str">
        <x:v>主路径</x:v>
      </x:c>
      <x:c r="U46" s="4" t="str"/>
      <x:c r="V46" s="11" t="n">
        <x:v>21.139507182866023</x:v>
      </x:c>
      <x:c r="W46" s="4" t="str">
        <x:v>当前C²核 T8ms；完整20%+保载</x:v>
      </x:c>
      <x:c r="X46" s="4" t="str">
        <x:v>/home/xuehu/projects/tpms_jax/validation/void_continuation_20261006_r12/T0p008/result.json</x:v>
      </x:c>
    </x:row>
    <x:row r="47" ht="25" customHeight="1">
      <x:c r="A47" s="4" t="str">
        <x:v>04-Support</x:v>
      </x:c>
      <x:c r="B47" s="4" t="str">
        <x:v>diverse_04</x:v>
      </x:c>
      <x:c r="C47" s="4" t="str">
        <x:v>JAX/Explicit</x:v>
      </x:c>
      <x:c r="D47" s="9" t="n">
        <x:v>4</x:v>
      </x:c>
      <x:c r="E47" s="9" t="n">
        <x:v>0.5</x:v>
      </x:c>
      <x:c r="F47" s="4" t="n">
        <x:v>32</x:v>
      </x:c>
      <x:c r="G47" s="4" t="str">
        <x:v>HEX27</x:v>
      </x:c>
      <x:c r="H47" s="4" t="n">
        <x:v>27</x:v>
      </x:c>
      <x:c r="I47" s="4" t="str">
        <x:v>平滑</x:v>
      </x:c>
      <x:c r="J47" s="10" t="n">
        <x:v>0.05</x:v>
      </x:c>
      <x:c r="K47" s="10" t="str">
        <x:v>C²</x:v>
      </x:c>
      <x:c r="L47" s="10" t="n">
        <x:v>0</x:v>
      </x:c>
      <x:c r="M47" s="10" t="n">
        <x:v>13.077724201070815</x:v>
      </x:c>
      <x:c r="N47" s="10" t="n">
        <x:v>13.077724201070815</x:v>
      </x:c>
      <x:c r="O47" s="10" t="n">
        <x:v>6.081961344606114</x:v>
      </x:c>
      <x:c r="P47" s="4" t="str">
        <x:v>未观察</x:v>
      </x:c>
      <x:c r="Q47" s="10" t="n">
        <x:v>6.081961344606114</x:v>
      </x:c>
      <x:c r="R47" s="10" t="str">
        <x:v>n.a.</x:v>
      </x:c>
      <x:c r="S47" s="4" t="str">
        <x:v>完成已设定窗口</x:v>
      </x:c>
      <x:c r="T47" s="4" t="str">
        <x:v>支撑干预</x:v>
      </x:c>
      <x:c r="U47" s="4" t="str"/>
      <x:c r="V47" s="11" t="str">
        <x:v>n.a.</x:v>
      </x:c>
      <x:c r="W47" s="4" t="str">
        <x:v>深虚域能量×0.1，质量不变；13.0777%预算停止</x:v>
      </x:c>
      <x:c r="X47" s="4" t="str">
        <x:v>/home/xuehu/projects/tpms_jax/validation/void_support_20261007_r26/forward/accepted_path.json</x:v>
      </x:c>
    </x:row>
  </x:sheetData>
  <x:pageMargins left="0.7" right="0.7" top="0.75" bottom="0.75" header="0.3" footer="0.3"/>
  <x:tableParts count="1">
    <x:tablePart xmlns:r="http://schemas.openxmlformats.org/officeDocument/2006/relationships" r:id="R7af149b4ce5040b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6" hidden="0" customWidth="1"/>
    <x:col min="5" max="5" width="13" hidden="0" customWidth="1"/>
    <x:col min="6" max="6" width="13" hidden="0" customWidth="1"/>
    <x:col min="7" max="7" width="10" hidden="0" customWidth="1"/>
    <x:col min="8" max="8" width="10" hidden="0" customWidth="1"/>
    <x:col min="9" max="9" width="12" hidden="0" customWidth="1"/>
    <x:col min="10" max="10" width="12" hidden="0" customWidth="1"/>
    <x:col min="11" max="11" width="18" hidden="0" customWidth="1"/>
    <x:col min="12" max="12" width="22" hidden="0" customWidth="1"/>
    <x:col min="13" max="13" width="23" hidden="0" customWidth="1"/>
    <x:col min="14" max="14" width="21" hidden="0" customWidth="1"/>
    <x:col min="15" max="15" width="19" hidden="0" customWidth="1"/>
    <x:col min="16" max="16" width="19" hidden="0" customWidth="1"/>
    <x:col min="17" max="17" width="20" hidden="0" customWidth="1"/>
    <x:col min="18" max="18" width="19" hidden="0" customWidth="1"/>
    <x:col min="19" max="19" width="19" hidden="0" customWidth="1"/>
    <x:col min="20" max="20" width="23" hidden="0" customWidth="1"/>
    <x:col min="21" max="21" width="70" hidden="0" customWidth="1"/>
  </x:cols>
  <x:sheetData>
    <x:row r="2">
      <x:c r="A2" s="1" t="str">
        <x:v>完整与部分路径的共同窗口误差</x:v>
      </x:c>
    </x:row>
    <x:row r="6" ht="40" customHeight="1">
      <x:c r="A6" s="8" t="str">
        <x:v>曲线ID</x:v>
      </x:c>
      <x:c r="B6" s="8" t="str">
        <x:v>构型</x:v>
      </x:c>
      <x:c r="C6" s="8" t="str">
        <x:v>参考ID</x:v>
      </x:c>
      <x:c r="D6" s="8" t="str">
        <x:v>窗口</x:v>
      </x:c>
      <x:c r="E6" s="8" t="str">
        <x:v>起点 (%)</x:v>
      </x:c>
      <x:c r="F6" s="8" t="str">
        <x:v>末点 (%)</x:v>
      </x:c>
      <x:c r="G6" s="8" t="str">
        <x:v>同T</x:v>
      </x:c>
      <x:c r="H6" s="8" t="str">
        <x:v>同厚度</x:v>
      </x:c>
      <x:c r="I6" s="8" t="str">
        <x:v>本T (ms)</x:v>
      </x:c>
      <x:c r="J6" s="8" t="str">
        <x:v>参考T (ms)</x:v>
      </x:c>
      <x:c r="K6" s="8" t="str">
        <x:v>RMS力差 (N)</x:v>
      </x:c>
      <x:c r="L6" s="8" t="str">
        <x:v>参考完整加载最大力 (N)</x:v>
      </x:c>
      <x:c r="M6" s="8" t="str">
        <x:v>RMS/参考最大力 (%)</x:v>
      </x:c>
      <x:c r="N6" s="8" t="str">
        <x:v>RMS/旧分母 (%)</x:v>
      </x:c>
      <x:c r="O6" s="8" t="str">
        <x:v>本功 (N mm)</x:v>
      </x:c>
      <x:c r="P6" s="8" t="str">
        <x:v>参考功 (N mm)</x:v>
      </x:c>
      <x:c r="Q6" s="8" t="str">
        <x:v>相对功差 (%)</x:v>
      </x:c>
      <x:c r="R6" s="8" t="str">
        <x:v>窗口末力 (N)</x:v>
      </x:c>
      <x:c r="S6" s="8" t="str">
        <x:v>参考末力 (N)</x:v>
      </x:c>
      <x:c r="T6" s="8" t="str">
        <x:v>末点相对力差 (%)</x:v>
      </x:c>
      <x:c r="U6" s="8" t="str">
        <x:v>范围说明</x:v>
      </x:c>
    </x:row>
    <x:row r="7" ht="25" customHeight="1">
      <x:c r="A7" s="4" t="str">
        <x:v>04-B32</x:v>
      </x:c>
      <x:c r="B7" s="4" t="str">
        <x:v>diverse_04</x:v>
      </x:c>
      <x:c r="C7" s="4" t="str">
        <x:v>04-S4</x:v>
      </x:c>
      <x:c r="D7" s="4" t="str">
        <x:v>到5%</x:v>
      </x:c>
      <x:c r="E7" s="10" t="n">
        <x:v>0</x:v>
      </x:c>
      <x:c r="F7" s="10" t="n">
        <x:v>5</x:v>
      </x:c>
      <x:c r="G7" s="4" t="str">
        <x:v>是</x:v>
      </x:c>
      <x:c r="H7" s="4" t="str">
        <x:v>是</x:v>
      </x:c>
      <x:c r="I7" s="20" t="n">
        <x:v>4</x:v>
      </x:c>
      <x:c r="J7" s="20" t="n">
        <x:v>4</x:v>
      </x:c>
      <x:c r="K7" s="20" t="n">
        <x:v>0.019581163677429837</x:v>
      </x:c>
      <x:c r="L7" s="20" t="n">
        <x:v>5.229988098144531</x:v>
      </x:c>
      <x:c r="M7" s="21" t="n">
        <x:f>K7/L7</x:f>
        <x:v>0.003744016871544458</x:v>
      </x:c>
      <x:c r="N7" s="21" t="n">
        <x:f>K7/'加载时长与峰位'!$B$4</x:f>
        <x:v>0.008668396257741502</x:v>
      </x:c>
      <x:c r="O7" s="20" t="n">
        <x:v>0.5935946524339032</x:v>
      </x:c>
      <x:c r="P7" s="20" t="n">
        <x:v>0.5852696564654019</x:v>
      </x:c>
      <x:c r="Q7" s="21" t="n">
        <x:f>O7/P7-1</x:f>
        <x:v>0.014224205674318036</x:v>
      </x:c>
      <x:c r="R7" s="20" t="n">
        <x:v>2.360633297534449</x:v>
      </x:c>
      <x:c r="S7" s="20" t="n">
        <x:v>2.325966645911184</x:v>
      </x:c>
      <x:c r="T7" s="21" t="n">
        <x:f>R7/S7-1</x:f>
        <x:v>0.014904191203345851</x:v>
      </x:c>
      <x:c r="U7" s="4" t="str">
        <x:v>已有路径共同窗口，非新增验收；参考质量缺陷保持</x:v>
      </x:c>
    </x:row>
    <x:row r="8" ht="25" customHeight="1">
      <x:c r="A8" s="4" t="str">
        <x:v>04-B32</x:v>
      </x:c>
      <x:c r="B8" s="4" t="str">
        <x:v>diverse_04</x:v>
      </x:c>
      <x:c r="C8" s="4" t="str">
        <x:v>04-S4</x:v>
      </x:c>
      <x:c r="D8" s="4" t="str">
        <x:v>到10%</x:v>
      </x:c>
      <x:c r="E8" s="10" t="n">
        <x:v>0</x:v>
      </x:c>
      <x:c r="F8" s="10" t="n">
        <x:v>10</x:v>
      </x:c>
      <x:c r="G8" s="4" t="str">
        <x:v>是</x:v>
      </x:c>
      <x:c r="H8" s="4" t="str">
        <x:v>是</x:v>
      </x:c>
      <x:c r="I8" s="20" t="n">
        <x:v>4</x:v>
      </x:c>
      <x:c r="J8" s="20" t="n">
        <x:v>4</x:v>
      </x:c>
      <x:c r="K8" s="20" t="n">
        <x:v>0.04171533808107812</x:v>
      </x:c>
      <x:c r="L8" s="20" t="n">
        <x:v>5.229988098144531</x:v>
      </x:c>
      <x:c r="M8" s="21" t="n">
        <x:f>K8/L8</x:f>
        <x:v>0.007976182220352982</x:v>
      </x:c>
      <x:c r="N8" s="21" t="n">
        <x:f>K8/'加载时长与峰位'!$B$4</x:f>
        <x:v>0.01846698625624799</x:v>
      </x:c>
      <x:c r="O8" s="20" t="n">
        <x:v>2.3443898699942305</x:v>
      </x:c>
      <x:c r="P8" s="20" t="n">
        <x:v>2.3088872798499507</x:v>
      </x:c>
      <x:c r="Q8" s="21" t="n">
        <x:f>O8/P8-1</x:f>
        <x:v>0.015376493453845397</x:v>
      </x:c>
      <x:c r="R8" s="20" t="n">
        <x:v>4.613159237415003</x:v>
      </x:c>
      <x:c r="S8" s="20" t="n">
        <x:v>4.536357579674203</x:v>
      </x:c>
      <x:c r="T8" s="21" t="n">
        <x:f>R8/S8-1</x:f>
        <x:v>0.016930247757566796</x:v>
      </x:c>
      <x:c r="U8" s="4" t="str">
        <x:v>已有路径共同窗口，非新增验收；参考质量缺陷保持</x:v>
      </x:c>
    </x:row>
    <x:row r="9" ht="25" customHeight="1">
      <x:c r="A9" s="4" t="str">
        <x:v>04-B32</x:v>
      </x:c>
      <x:c r="B9" s="4" t="str">
        <x:v>diverse_04</x:v>
      </x:c>
      <x:c r="C9" s="4" t="str">
        <x:v>04-S4</x:v>
      </x:c>
      <x:c r="D9" s="4" t="str">
        <x:v>到12%</x:v>
      </x:c>
      <x:c r="E9" s="10" t="n">
        <x:v>0</x:v>
      </x:c>
      <x:c r="F9" s="10" t="n">
        <x:v>12</x:v>
      </x:c>
      <x:c r="G9" s="4" t="str">
        <x:v>是</x:v>
      </x:c>
      <x:c r="H9" s="4" t="str">
        <x:v>是</x:v>
      </x:c>
      <x:c r="I9" s="20" t="n">
        <x:v>4</x:v>
      </x:c>
      <x:c r="J9" s="20" t="n">
        <x:v>4</x:v>
      </x:c>
      <x:c r="K9" s="20" t="n">
        <x:v>0.06020746429067674</x:v>
      </x:c>
      <x:c r="L9" s="20" t="n">
        <x:v>5.229988098144531</x:v>
      </x:c>
      <x:c r="M9" s="21" t="n">
        <x:f>K9/L9</x:f>
        <x:v>0.011511969656687526</x:v>
      </x:c>
      <x:c r="N9" s="21" t="n">
        <x:f>K9/'加载时长与峰位'!$B$4</x:f>
        <x:v>0.02665327591061282</x:v>
      </x:c>
      <x:c r="O9" s="20" t="n">
        <x:v>3.351168432798067</x:v>
      </x:c>
      <x:c r="P9" s="20" t="n">
        <x:v>3.294691255783222</x:v>
      </x:c>
      <x:c r="Q9" s="21" t="n">
        <x:f>O9/P9-1</x:f>
        <x:v>0.01714187237293019</x:v>
      </x:c>
      <x:c r="R9" s="20" t="n">
        <x:v>5.445397594889246</x:v>
      </x:c>
      <x:c r="S9" s="20" t="n">
        <x:v>5.055781124276235</x:v>
      </x:c>
      <x:c r="T9" s="21" t="n">
        <x:f>R9/S9-1</x:f>
        <x:v>0.07706355576632817</x:v>
      </x:c>
      <x:c r="U9" s="4" t="str">
        <x:v>已有路径共同窗口，非新增验收；参考质量缺陷保持</x:v>
      </x:c>
    </x:row>
    <x:row r="10" ht="25" customHeight="1">
      <x:c r="A10" s="4" t="str">
        <x:v>04-B32</x:v>
      </x:c>
      <x:c r="B10" s="4" t="str">
        <x:v>diverse_04</x:v>
      </x:c>
      <x:c r="C10" s="4" t="str">
        <x:v>04-S4</x:v>
      </x:c>
      <x:c r="D10" s="4" t="str">
        <x:v>到15%</x:v>
      </x:c>
      <x:c r="E10" s="10" t="n">
        <x:v>0</x:v>
      </x:c>
      <x:c r="F10" s="10" t="n">
        <x:v>15</x:v>
      </x:c>
      <x:c r="G10" s="4" t="str">
        <x:v>是</x:v>
      </x:c>
      <x:c r="H10" s="4" t="str">
        <x:v>是</x:v>
      </x:c>
      <x:c r="I10" s="20" t="n">
        <x:v>4</x:v>
      </x:c>
      <x:c r="J10" s="20" t="n">
        <x:v>4</x:v>
      </x:c>
      <x:c r="K10" s="20" t="n">
        <x:v>1.743926426910342</x:v>
      </x:c>
      <x:c r="L10" s="20" t="n">
        <x:v>5.229988098144531</x:v>
      </x:c>
      <x:c r="M10" s="21" t="n">
        <x:f>K10/L10</x:f>
        <x:v>0.33344749436983295</x:v>
      </x:c>
      <x:c r="N10" s="21" t="n">
        <x:f>K10/'加载时长与峰位'!$B$4</x:f>
        <x:v>0.772019761533924</x:v>
      </x:c>
      <x:c r="O10" s="20" t="n">
        <x:v>5.154729607258899</x:v>
      </x:c>
      <x:c r="P10" s="20" t="n">
        <x:v>3.98747209235357</x:v>
      </x:c>
      <x:c r="Q10" s="21" t="n">
        <x:f>O10/P10-1</x:f>
        <x:v>0.29273120610516057</x:v>
      </x:c>
      <x:c r="R10" s="20" t="n">
        <x:v>6.523348494632306</x:v>
      </x:c>
      <x:c r="S10" s="20" t="n">
        <x:v>1.6683822019690941</x:v>
      </x:c>
      <x:c r="T10" s="21" t="n">
        <x:f>R10/S10-1</x:f>
        <x:v>2.9099844669483876</x:v>
      </x:c>
      <x:c r="U10" s="4" t="str">
        <x:v>已有路径共同窗口，非新增验收；参考质量缺陷保持</x:v>
      </x:c>
    </x:row>
    <x:row r="11" ht="25" customHeight="1">
      <x:c r="A11" s="4" t="str">
        <x:v>04-B32</x:v>
      </x:c>
      <x:c r="B11" s="4" t="str">
        <x:v>diverse_04</x:v>
      </x:c>
      <x:c r="C11" s="4" t="str">
        <x:v>04-S4</x:v>
      </x:c>
      <x:c r="D11" s="4" t="str">
        <x:v>到20%</x:v>
      </x:c>
      <x:c r="E11" s="10" t="n">
        <x:v>0</x:v>
      </x:c>
      <x:c r="F11" s="10" t="n">
        <x:v>20</x:v>
      </x:c>
      <x:c r="G11" s="4" t="str">
        <x:v>是</x:v>
      </x:c>
      <x:c r="H11" s="4" t="str">
        <x:v>是</x:v>
      </x:c>
      <x:c r="I11" s="20" t="n">
        <x:v>4</x:v>
      </x:c>
      <x:c r="J11" s="20" t="n">
        <x:v>4</x:v>
      </x:c>
      <x:c r="K11" s="20" t="n">
        <x:v>1.877385424450154</x:v>
      </x:c>
      <x:c r="L11" s="20" t="n">
        <x:v>5.229988098144531</x:v>
      </x:c>
      <x:c r="M11" s="21" t="n">
        <x:f>K11/L11</x:f>
        <x:v>0.3589655252019031</x:v>
      </x:c>
      <x:c r="N11" s="21" t="n">
        <x:f>K11/'加载时长与峰位'!$B$4</x:f>
        <x:v>0.831100799509696</x:v>
      </x:c>
      <x:c r="O11" s="20" t="n">
        <x:v>6.531180571008087</x:v>
      </x:c>
      <x:c r="P11" s="20" t="n">
        <x:v>4.658291226887748</x:v>
      </x:c>
      <x:c r="Q11" s="21" t="n">
        <x:f>O11/P11-1</x:f>
        <x:v>0.4020550139308563</x:v>
      </x:c>
      <x:c r="R11" s="20" t="n">
        <x:v>2.5392151114903108</x:v>
      </x:c>
      <x:c r="S11" s="20" t="n">
        <x:v>1.5718765918861466</x:v>
      </x:c>
      <x:c r="T11" s="21" t="n">
        <x:f>R11/S11-1</x:f>
        <x:v>0.6154036039454107</x:v>
      </x:c>
      <x:c r="U11" s="4" t="str">
        <x:v>已有路径共同窗口，非新增验收；参考质量缺陷保持</x:v>
      </x:c>
    </x:row>
    <x:row r="12" ht="25" customHeight="1">
      <x:c r="A12" s="4" t="str">
        <x:v>04-B64</x:v>
      </x:c>
      <x:c r="B12" s="4" t="str">
        <x:v>diverse_04</x:v>
      </x:c>
      <x:c r="C12" s="4" t="str">
        <x:v>04-S1</x:v>
      </x:c>
      <x:c r="D12" s="4" t="str">
        <x:v>到5%</x:v>
      </x:c>
      <x:c r="E12" s="10" t="n">
        <x:v>0</x:v>
      </x:c>
      <x:c r="F12" s="10" t="n">
        <x:v>5</x:v>
      </x:c>
      <x:c r="G12" s="4" t="str">
        <x:v>是</x:v>
      </x:c>
      <x:c r="H12" s="4" t="str">
        <x:v>是</x:v>
      </x:c>
      <x:c r="I12" s="20" t="n">
        <x:v>1</x:v>
      </x:c>
      <x:c r="J12" s="20" t="n">
        <x:v>1</x:v>
      </x:c>
      <x:c r="K12" s="20" t="n">
        <x:v>0.04270117779178534</x:v>
      </x:c>
      <x:c r="L12" s="20" t="n">
        <x:v>5.4987382888793945</x:v>
      </x:c>
      <x:c r="M12" s="21" t="n">
        <x:f>K12/L12</x:f>
        <x:v>0.007765631959270341</x:v>
      </x:c>
      <x:c r="N12" s="21" t="n">
        <x:f>K12/'加载时长与峰位'!$B$4</x:f>
        <x:v>0.01890340818702821</x:v>
      </x:c>
      <x:c r="O12" s="20" t="n">
        <x:v>0.662668171092005</x:v>
      </x:c>
      <x:c r="P12" s="20" t="n">
        <x:v>0.6464889400382777</x:v>
      </x:c>
      <x:c r="Q12" s="21" t="n">
        <x:f>O12/P12-1</x:f>
        <x:v>0.025026307569576245</x:v>
      </x:c>
      <x:c r="R12" s="20" t="n">
        <x:v>2.5029756698651022</x:v>
      </x:c>
      <x:c r="S12" s="20" t="n">
        <x:v>2.4202900273798575</x:v>
      </x:c>
      <x:c r="T12" s="21" t="n">
        <x:f>R12/S12-1</x:f>
        <x:v>0.03416352649882959</x:v>
      </x:c>
      <x:c r="U12" s="4" t="str">
        <x:v>已有路径共同窗口，非新增验收；参考质量缺陷保持</x:v>
      </x:c>
    </x:row>
    <x:row r="13" ht="25" customHeight="1">
      <x:c r="A13" s="4" t="str">
        <x:v>04-B64</x:v>
      </x:c>
      <x:c r="B13" s="4" t="str">
        <x:v>diverse_04</x:v>
      </x:c>
      <x:c r="C13" s="4" t="str">
        <x:v>04-S1</x:v>
      </x:c>
      <x:c r="D13" s="4" t="str">
        <x:v>到10%</x:v>
      </x:c>
      <x:c r="E13" s="10" t="n">
        <x:v>0</x:v>
      </x:c>
      <x:c r="F13" s="10" t="n">
        <x:v>10</x:v>
      </x:c>
      <x:c r="G13" s="4" t="str">
        <x:v>是</x:v>
      </x:c>
      <x:c r="H13" s="4" t="str">
        <x:v>是</x:v>
      </x:c>
      <x:c r="I13" s="20" t="n">
        <x:v>1</x:v>
      </x:c>
      <x:c r="J13" s="20" t="n">
        <x:v>1</x:v>
      </x:c>
      <x:c r="K13" s="20" t="n">
        <x:v>0.1046913581537166</x:v>
      </x:c>
      <x:c r="L13" s="20" t="n">
        <x:v>5.4987382888793945</x:v>
      </x:c>
      <x:c r="M13" s="21" t="n">
        <x:f>K13/L13</x:f>
        <x:v>0.01903916001338772</x:v>
      </x:c>
      <x:c r="N13" s="21" t="n">
        <x:f>K13/'加载时长与峰位'!$B$4</x:f>
        <x:v>0.0463458756684408</x:v>
      </x:c>
      <x:c r="O13" s="20" t="n">
        <x:v>2.480171405172312</x:v>
      </x:c>
      <x:c r="P13" s="20" t="n">
        <x:v>2.394968464567977</x:v>
      </x:c>
      <x:c r="Q13" s="21" t="n">
        <x:f>O13/P13-1</x:f>
        <x:v>0.03557580897822166</x:v>
      </x:c>
      <x:c r="R13" s="20" t="n">
        <x:v>4.729696669198833</x:v>
      </x:c>
      <x:c r="S13" s="20" t="n">
        <x:v>4.537383544636678</x:v>
      </x:c>
      <x:c r="T13" s="21" t="n">
        <x:f>R13/S13-1</x:f>
        <x:v>0.042384145547817775</x:v>
      </x:c>
      <x:c r="U13" s="4" t="str">
        <x:v>已有路径共同窗口，非新增验收；参考质量缺陷保持</x:v>
      </x:c>
    </x:row>
    <x:row r="14" ht="25" customHeight="1">
      <x:c r="A14" s="4" t="str">
        <x:v>04-B64</x:v>
      </x:c>
      <x:c r="B14" s="4" t="str">
        <x:v>diverse_04</x:v>
      </x:c>
      <x:c r="C14" s="4" t="str">
        <x:v>04-S1</x:v>
      </x:c>
      <x:c r="D14" s="4" t="str">
        <x:v>到12%</x:v>
      </x:c>
      <x:c r="E14" s="10" t="n">
        <x:v>0</x:v>
      </x:c>
      <x:c r="F14" s="10" t="n">
        <x:v>12</x:v>
      </x:c>
      <x:c r="G14" s="4" t="str">
        <x:v>是</x:v>
      </x:c>
      <x:c r="H14" s="4" t="str">
        <x:v>是</x:v>
      </x:c>
      <x:c r="I14" s="20" t="n">
        <x:v>1</x:v>
      </x:c>
      <x:c r="J14" s="20" t="n">
        <x:v>1</x:v>
      </x:c>
      <x:c r="K14" s="20" t="n">
        <x:v>0.13053933350757074</x:v>
      </x:c>
      <x:c r="L14" s="20" t="n">
        <x:v>5.4987382888793945</x:v>
      </x:c>
      <x:c r="M14" s="21" t="n">
        <x:f>K14/L14</x:f>
        <x:v>0.023739870248339054</x:v>
      </x:c>
      <x:c r="N14" s="21" t="n">
        <x:f>K14/'加载时长与峰位'!$B$4</x:f>
        <x:v>0.05778853027868781</x:v>
      </x:c>
      <x:c r="O14" s="20" t="n">
        <x:v>3.5102504268133434</x:v>
      </x:c>
      <x:c r="P14" s="20" t="n">
        <x:v>3.381609720894832</x:v>
      </x:c>
      <x:c r="Q14" s="21" t="n">
        <x:f>O14/P14-1</x:f>
        <x:v>0.0380412633437992</x:v>
      </x:c>
      <x:c r="R14" s="20" t="n">
        <x:v>5.557638351409316</x:v>
      </x:c>
      <x:c r="S14" s="20" t="n">
        <x:v>5.309324456416128</x:v>
      </x:c>
      <x:c r="T14" s="21" t="n">
        <x:f>R14/S14-1</x:f>
        <x:v>0.04676939543468839</x:v>
      </x:c>
      <x:c r="U14" s="4" t="str">
        <x:v>已有路径共同窗口，非新增验收；参考质量缺陷保持</x:v>
      </x:c>
    </x:row>
    <x:row r="15" ht="25" customHeight="1">
      <x:c r="A15" s="4" t="str">
        <x:v>04-B64</x:v>
      </x:c>
      <x:c r="B15" s="4" t="str">
        <x:v>diverse_04</x:v>
      </x:c>
      <x:c r="C15" s="4" t="str">
        <x:v>04-S1</x:v>
      </x:c>
      <x:c r="D15" s="4" t="str">
        <x:v>全部已覆盖</x:v>
      </x:c>
      <x:c r="E15" s="10" t="n">
        <x:v>0</x:v>
      </x:c>
      <x:c r="F15" s="10" t="n">
        <x:v>13.587668519974091</x:v>
      </x:c>
      <x:c r="G15" s="4" t="str">
        <x:v>是</x:v>
      </x:c>
      <x:c r="H15" s="4" t="str">
        <x:v>是</x:v>
      </x:c>
      <x:c r="I15" s="20" t="n">
        <x:v>1</x:v>
      </x:c>
      <x:c r="J15" s="20" t="n">
        <x:v>1</x:v>
      </x:c>
      <x:c r="K15" s="20" t="n">
        <x:v>0.26650312520107217</x:v>
      </x:c>
      <x:c r="L15" s="20" t="n">
        <x:v>5.4987382888793945</x:v>
      </x:c>
      <x:c r="M15" s="21" t="n">
        <x:f>K15/L15</x:f>
        <x:v>0.048466231924520944</x:v>
      </x:c>
      <x:c r="N15" s="21" t="n">
        <x:f>K15/'加载时长与峰位'!$B$4</x:f>
        <x:v>0.11797841697386867</x:v>
      </x:c>
      <x:c r="O15" s="20" t="n">
        <x:v>4.438948558223561</x:v>
      </x:c>
      <x:c r="P15" s="20" t="n">
        <x:v>4.2208401915841876</x:v>
      </x:c>
      <x:c r="Q15" s="21" t="n">
        <x:f>O15/P15-1</x:f>
        <x:v>0.05167415887345195</x:v>
      </x:c>
      <x:c r="R15" s="20" t="n">
        <x:v>6.123711452351463</x:v>
      </x:c>
      <x:c r="S15" s="20" t="n">
        <x:v>4.523104115178185</x:v>
      </x:c>
      <x:c r="T15" s="21" t="n">
        <x:f>R15/S15-1</x:f>
        <x:v>0.3538736443855268</x:v>
      </x:c>
      <x:c r="U15" s="4" t="str">
        <x:v>已有路径共同窗口，非新增验收；参考质量缺陷保持</x:v>
      </x:c>
    </x:row>
    <x:row r="16" ht="25" customHeight="1">
      <x:c r="A16" s="4" t="str">
        <x:v>28-Q64</x:v>
      </x:c>
      <x:c r="B16" s="4" t="str">
        <x:v>diverse_28</x:v>
      </x:c>
      <x:c r="C16" s="4" t="str">
        <x:v>28-S40</x:v>
      </x:c>
      <x:c r="D16" s="4" t="str">
        <x:v>到5%</x:v>
      </x:c>
      <x:c r="E16" s="10" t="n">
        <x:v>0</x:v>
      </x:c>
      <x:c r="F16" s="10" t="n">
        <x:v>5</x:v>
      </x:c>
      <x:c r="G16" s="4" t="str">
        <x:v>否</x:v>
      </x:c>
      <x:c r="H16" s="4" t="str">
        <x:v>是</x:v>
      </x:c>
      <x:c r="I16" s="20" t="n">
        <x:v>4</x:v>
      </x:c>
      <x:c r="J16" s="20" t="n">
        <x:v>40</x:v>
      </x:c>
      <x:c r="K16" s="20" t="n">
        <x:v>0.06515682747902748</x:v>
      </x:c>
      <x:c r="L16" s="20" t="n">
        <x:v>2.243082284927368</x:v>
      </x:c>
      <x:c r="M16" s="21" t="n">
        <x:f>K16/L16</x:f>
        <x:v>0.029047898918758253</x:v>
      </x:c>
      <x:c r="N16" s="21" t="n">
        <x:f>K16/'加载时长与峰位'!$B$4</x:f>
        <x:v>0.028844312257934462</x:v>
      </x:c>
      <x:c r="O16" s="20" t="n">
        <x:v>0.4591256611920708</x:v>
      </x:c>
      <x:c r="P16" s="20" t="n">
        <x:v>0.42995234164874585</x:v>
      </x:c>
      <x:c r="Q16" s="21" t="n">
        <x:f>O16/P16-1</x:f>
        <x:v>0.06785244948650249</x:v>
      </x:c>
      <x:c r="R16" s="20" t="n">
        <x:v>1.7231125323181165</x:v>
      </x:c>
      <x:c r="S16" s="20" t="n">
        <x:v>1.6103992253526205</x:v>
      </x:c>
      <x:c r="T16" s="21" t="n">
        <x:f>R16/S16-1</x:f>
        <x:v>0.06999090982598788</x:v>
      </x:c>
      <x:c r="U16" s="4" t="str">
        <x:v>已有路径共同窗口，非新增验收；参考质量缺陷保持</x:v>
      </x:c>
    </x:row>
    <x:row r="17" ht="25" customHeight="1">
      <x:c r="A17" s="4" t="str">
        <x:v>28-Q64</x:v>
      </x:c>
      <x:c r="B17" s="4" t="str">
        <x:v>diverse_28</x:v>
      </x:c>
      <x:c r="C17" s="4" t="str">
        <x:v>28-S40</x:v>
      </x:c>
      <x:c r="D17" s="4" t="str">
        <x:v>到10%</x:v>
      </x:c>
      <x:c r="E17" s="10" t="n">
        <x:v>0</x:v>
      </x:c>
      <x:c r="F17" s="10" t="n">
        <x:v>10</x:v>
      </x:c>
      <x:c r="G17" s="4" t="str">
        <x:v>否</x:v>
      </x:c>
      <x:c r="H17" s="4" t="str">
        <x:v>是</x:v>
      </x:c>
      <x:c r="I17" s="20" t="n">
        <x:v>4</x:v>
      </x:c>
      <x:c r="J17" s="20" t="n">
        <x:v>40</x:v>
      </x:c>
      <x:c r="K17" s="20" t="n">
        <x:v>0.1318494466065844</x:v>
      </x:c>
      <x:c r="L17" s="20" t="n">
        <x:v>2.243082284927368</x:v>
      </x:c>
      <x:c r="M17" s="21" t="n">
        <x:f>K17/L17</x:f>
        <x:v>0.05878047697695305</x:v>
      </x:c>
      <x:c r="N17" s="21" t="n">
        <x:f>K17/'加载时长与峰位'!$B$4</x:f>
        <x:v>0.05836850497640193</x:v>
      </x:c>
      <x:c r="O17" s="20" t="n">
        <x:v>1.556922136332599</x:v>
      </x:c>
      <x:c r="P17" s="20" t="n">
        <x:v>1.441693498877864</x:v>
      </x:c>
      <x:c r="Q17" s="21" t="n">
        <x:f>O17/P17-1</x:f>
        <x:v>0.07992589100555891</x:v>
      </x:c>
      <x:c r="R17" s="20" t="n">
        <x:v>2.4496583664946723</x:v>
      </x:c>
      <x:c r="S17" s="20" t="n">
        <x:v>2.2387674044908055</x:v>
      </x:c>
      <x:c r="T17" s="21" t="n">
        <x:f>R17/S17-1</x:f>
        <x:v>0.09419958570990206</x:v>
      </x:c>
      <x:c r="U17" s="4" t="str">
        <x:v>已有路径共同窗口，非新增验收；参考质量缺陷保持</x:v>
      </x:c>
    </x:row>
    <x:row r="18" ht="25" customHeight="1">
      <x:c r="A18" s="4" t="str">
        <x:v>28-Q64</x:v>
      </x:c>
      <x:c r="B18" s="4" t="str">
        <x:v>diverse_28</x:v>
      </x:c>
      <x:c r="C18" s="4" t="str">
        <x:v>28-S40</x:v>
      </x:c>
      <x:c r="D18" s="4" t="str">
        <x:v>到12%</x:v>
      </x:c>
      <x:c r="E18" s="10" t="n">
        <x:v>0</x:v>
      </x:c>
      <x:c r="F18" s="10" t="n">
        <x:v>12</x:v>
      </x:c>
      <x:c r="G18" s="4" t="str">
        <x:v>否</x:v>
      </x:c>
      <x:c r="H18" s="4" t="str">
        <x:v>是</x:v>
      </x:c>
      <x:c r="I18" s="20" t="n">
        <x:v>4</x:v>
      </x:c>
      <x:c r="J18" s="20" t="n">
        <x:v>40</x:v>
      </x:c>
      <x:c r="K18" s="20" t="n">
        <x:v>0.14886194811521003</x:v>
      </x:c>
      <x:c r="L18" s="20" t="n">
        <x:v>2.243082284927368</x:v>
      </x:c>
      <x:c r="M18" s="21" t="n">
        <x:f>K18/L18</x:f>
        <x:v>0.06636490739350216</x:v>
      </x:c>
      <x:c r="N18" s="21" t="n">
        <x:f>K18/'加载时长与峰位'!$B$4</x:f>
        <x:v>0.06589977874754016</x:v>
      </x:c>
      <x:c r="O18" s="20" t="n">
        <x:v>2.0471968829612672</x:v>
      </x:c>
      <x:c r="P18" s="20" t="n">
        <x:v>1.8890554006452573</x:v>
      </x:c>
      <x:c r="Q18" s="21" t="n">
        <x:f>O18/P18-1</x:f>
        <x:v>0.0837145815109459</x:v>
      </x:c>
      <x:c r="R18" s="20" t="n">
        <x:v>2.439349519148989</x:v>
      </x:c>
      <x:c r="S18" s="20" t="n">
        <x:v>2.219805912481243</x:v>
      </x:c>
      <x:c r="T18" s="21" t="n">
        <x:f>R18/S18-1</x:f>
        <x:v>0.09890216321765988</x:v>
      </x:c>
      <x:c r="U18" s="4" t="str">
        <x:v>已有路径共同窗口，非新增验收；参考质量缺陷保持</x:v>
      </x:c>
    </x:row>
    <x:row r="19" ht="25" customHeight="1">
      <x:c r="A19" s="4" t="str">
        <x:v>28-Q64</x:v>
      </x:c>
      <x:c r="B19" s="4" t="str">
        <x:v>diverse_28</x:v>
      </x:c>
      <x:c r="C19" s="4" t="str">
        <x:v>28-S40</x:v>
      </x:c>
      <x:c r="D19" s="4" t="str">
        <x:v>到15%</x:v>
      </x:c>
      <x:c r="E19" s="10" t="n">
        <x:v>0</x:v>
      </x:c>
      <x:c r="F19" s="10" t="n">
        <x:v>15</x:v>
      </x:c>
      <x:c r="G19" s="4" t="str">
        <x:v>否</x:v>
      </x:c>
      <x:c r="H19" s="4" t="str">
        <x:v>是</x:v>
      </x:c>
      <x:c r="I19" s="20" t="n">
        <x:v>4</x:v>
      </x:c>
      <x:c r="J19" s="20" t="n">
        <x:v>40</x:v>
      </x:c>
      <x:c r="K19" s="20" t="n">
        <x:v>0.16662509695559588</x:v>
      </x:c>
      <x:c r="L19" s="20" t="n">
        <x:v>2.243082284927368</x:v>
      </x:c>
      <x:c r="M19" s="21" t="n">
        <x:f>K19/L19</x:f>
        <x:v>0.07428398774099866</x:v>
      </x:c>
      <x:c r="N19" s="21" t="n">
        <x:f>K19/'加载时长与峰位'!$B$4</x:f>
        <x:v>0.07376335700418833</x:v>
      </x:c>
      <x:c r="O19" s="20" t="n">
        <x:v>2.7625184748648923</x:v>
      </x:c>
      <x:c r="P19" s="20" t="n">
        <x:v>2.537168541582366</x:v>
      </x:c>
      <x:c r="Q19" s="21" t="n">
        <x:f>O19/P19-1</x:f>
        <x:v>0.08881945743422381</x:v>
      </x:c>
      <x:c r="R19" s="20" t="n">
        <x:v>2.313300334352187</x:v>
      </x:c>
      <x:c r="S19" s="20" t="n">
        <x:v>2.0904140550078156</x:v>
      </x:c>
      <x:c r="T19" s="21" t="n">
        <x:f>R19/S19-1</x:f>
        <x:v>0.10662302944740687</x:v>
      </x:c>
      <x:c r="U19" s="4" t="str">
        <x:v>已有路径共同窗口，非新增验收；参考质量缺陷保持</x:v>
      </x:c>
    </x:row>
    <x:row r="20" ht="25" customHeight="1">
      <x:c r="A20" s="4" t="str">
        <x:v>28-Q64</x:v>
      </x:c>
      <x:c r="B20" s="4" t="str">
        <x:v>diverse_28</x:v>
      </x:c>
      <x:c r="C20" s="4" t="str">
        <x:v>28-S40</x:v>
      </x:c>
      <x:c r="D20" s="4" t="str">
        <x:v>到20%</x:v>
      </x:c>
      <x:c r="E20" s="10" t="n">
        <x:v>0</x:v>
      </x:c>
      <x:c r="F20" s="10" t="n">
        <x:v>19.99999999700836</x:v>
      </x:c>
      <x:c r="G20" s="4" t="str">
        <x:v>否</x:v>
      </x:c>
      <x:c r="H20" s="4" t="str">
        <x:v>是</x:v>
      </x:c>
      <x:c r="I20" s="20" t="n">
        <x:v>4</x:v>
      </x:c>
      <x:c r="J20" s="20" t="n">
        <x:v>40</x:v>
      </x:c>
      <x:c r="K20" s="20" t="n">
        <x:v>0.18282887156385344</x:v>
      </x:c>
      <x:c r="L20" s="20" t="n">
        <x:v>2.243082284927368</x:v>
      </x:c>
      <x:c r="M20" s="21" t="n">
        <x:f>K20/L20</x:f>
        <x:v>0.08150787547670081</x:v>
      </x:c>
      <x:c r="N20" s="21" t="n">
        <x:f>K20/'加载时长与峰位'!$B$4</x:f>
        <x:v>0.08093661501323139</x:v>
      </x:c>
      <x:c r="O20" s="20" t="n">
        <x:v>3.8547827834283317</x:v>
      </x:c>
      <x:c r="P20" s="20" t="n">
        <x:v>3.517171225540991</x:v>
      </x:c>
      <x:c r="Q20" s="21" t="n">
        <x:f>O20/P20-1</x:f>
        <x:v>0.09598951436758996</x:v>
      </x:c>
      <x:c r="R20" s="20" t="n">
        <x:v>2.0734647274991014</x:v>
      </x:c>
      <x:c r="S20" s="20" t="n">
        <x:v>1.831445008116547</x:v>
      </x:c>
      <x:c r="T20" s="21" t="n">
        <x:f>R20/S20-1</x:f>
        <x:v>0.13214686671452225</x:v>
      </x:c>
      <x:c r="U20" s="4" t="str">
        <x:v>已有路径共同窗口，非新增验收；参考质量缺陷保持</x:v>
      </x:c>
    </x:row>
    <x:row r="21" ht="25" customHeight="1">
      <x:c r="A21" s="4" t="str">
        <x:v>28-H8</x:v>
      </x:c>
      <x:c r="B21" s="4" t="str">
        <x:v>diverse_28</x:v>
      </x:c>
      <x:c r="C21" s="4" t="str">
        <x:v>28-S40</x:v>
      </x:c>
      <x:c r="D21" s="4" t="str">
        <x:v>到5%</x:v>
      </x:c>
      <x:c r="E21" s="10" t="n">
        <x:v>0</x:v>
      </x:c>
      <x:c r="F21" s="10" t="n">
        <x:v>5</x:v>
      </x:c>
      <x:c r="G21" s="4" t="str">
        <x:v>否</x:v>
      </x:c>
      <x:c r="H21" s="4" t="str">
        <x:v>是</x:v>
      </x:c>
      <x:c r="I21" s="20" t="n">
        <x:v>4</x:v>
      </x:c>
      <x:c r="J21" s="20" t="n">
        <x:v>40</x:v>
      </x:c>
      <x:c r="K21" s="20" t="n">
        <x:v>0.08268164387105355</x:v>
      </x:c>
      <x:c r="L21" s="20" t="n">
        <x:v>2.243082284927368</x:v>
      </x:c>
      <x:c r="M21" s="21" t="n">
        <x:f>K21/L21</x:f>
        <x:v>0.03686072705697946</x:v>
      </x:c>
      <x:c r="N21" s="21" t="n">
        <x:f>K21/'加载时长与峰位'!$B$4</x:f>
        <x:v>0.036602382990234536</x:v>
      </x:c>
      <x:c r="O21" s="20" t="n">
        <x:v>0.46637674587620415</x:v>
      </x:c>
      <x:c r="P21" s="20" t="n">
        <x:v>0.42995234164874585</x:v>
      </x:c>
      <x:c r="Q21" s="21" t="n">
        <x:f>O21/P21-1</x:f>
        <x:v>0.08471730631302288</x:v>
      </x:c>
      <x:c r="R21" s="20" t="n">
        <x:v>1.7588801910465244</x:v>
      </x:c>
      <x:c r="S21" s="20" t="n">
        <x:v>1.6103992253526205</x:v>
      </x:c>
      <x:c r="T21" s="21" t="n">
        <x:f>R21/S21-1</x:f>
        <x:v>0.09220133949169762</x:v>
      </x:c>
      <x:c r="U21" s="4" t="str">
        <x:v>已有路径共同窗口，非新增验收；参考质量缺陷保持</x:v>
      </x:c>
    </x:row>
    <x:row r="22" ht="25" customHeight="1">
      <x:c r="A22" s="4" t="str">
        <x:v>28-H8</x:v>
      </x:c>
      <x:c r="B22" s="4" t="str">
        <x:v>diverse_28</x:v>
      </x:c>
      <x:c r="C22" s="4" t="str">
        <x:v>28-S40</x:v>
      </x:c>
      <x:c r="D22" s="4" t="str">
        <x:v>到10%</x:v>
      </x:c>
      <x:c r="E22" s="10" t="n">
        <x:v>0</x:v>
      </x:c>
      <x:c r="F22" s="10" t="n">
        <x:v>10</x:v>
      </x:c>
      <x:c r="G22" s="4" t="str">
        <x:v>否</x:v>
      </x:c>
      <x:c r="H22" s="4" t="str">
        <x:v>是</x:v>
      </x:c>
      <x:c r="I22" s="20" t="n">
        <x:v>4</x:v>
      </x:c>
      <x:c r="J22" s="20" t="n">
        <x:v>40</x:v>
      </x:c>
      <x:c r="K22" s="20" t="n">
        <x:v>0.19055209669745168</x:v>
      </x:c>
      <x:c r="L22" s="20" t="n">
        <x:v>2.243082284927368</x:v>
      </x:c>
      <x:c r="M22" s="21" t="n">
        <x:f>K22/L22</x:f>
        <x:v>0.0849510060232239</x:v>
      </x:c>
      <x:c r="N22" s="21" t="n">
        <x:f>K22/'加载时长与峰位'!$B$4</x:f>
        <x:v>0.08435561385051425</x:v>
      </x:c>
      <x:c r="O22" s="20" t="n">
        <x:v>1.6031232520814387</x:v>
      </x:c>
      <x:c r="P22" s="20" t="n">
        <x:v>1.441693498877864</x:v>
      </x:c>
      <x:c r="Q22" s="21" t="n">
        <x:f>O22/P22-1</x:f>
        <x:v>0.11197231126395657</x:v>
      </x:c>
      <x:c r="R22" s="20" t="n">
        <x:v>2.576280059005974</x:v>
      </x:c>
      <x:c r="S22" s="20" t="n">
        <x:v>2.2387674044908055</x:v>
      </x:c>
      <x:c r="T22" s="21" t="n">
        <x:f>R22/S22-1</x:f>
        <x:v>0.15075824931082282</x:v>
      </x:c>
      <x:c r="U22" s="4" t="str">
        <x:v>已有路径共同窗口，非新增验收；参考质量缺陷保持</x:v>
      </x:c>
    </x:row>
    <x:row r="23" ht="25" customHeight="1">
      <x:c r="A23" s="4" t="str">
        <x:v>28-H8</x:v>
      </x:c>
      <x:c r="B23" s="4" t="str">
        <x:v>diverse_28</x:v>
      </x:c>
      <x:c r="C23" s="4" t="str">
        <x:v>28-S40</x:v>
      </x:c>
      <x:c r="D23" s="4" t="str">
        <x:v>到12%</x:v>
      </x:c>
      <x:c r="E23" s="10" t="n">
        <x:v>0</x:v>
      </x:c>
      <x:c r="F23" s="10" t="n">
        <x:v>12</x:v>
      </x:c>
      <x:c r="G23" s="4" t="str">
        <x:v>否</x:v>
      </x:c>
      <x:c r="H23" s="4" t="str">
        <x:v>是</x:v>
      </x:c>
      <x:c r="I23" s="20" t="n">
        <x:v>4</x:v>
      </x:c>
      <x:c r="J23" s="20" t="n">
        <x:v>40</x:v>
      </x:c>
      <x:c r="K23" s="20" t="n">
        <x:v>0.22644951094635637</x:v>
      </x:c>
      <x:c r="L23" s="20" t="n">
        <x:v>2.243082284927368</x:v>
      </x:c>
      <x:c r="M23" s="21" t="n">
        <x:f>K23/L23</x:f>
        <x:v>0.10095461609589988</x:v>
      </x:c>
      <x:c r="N23" s="21" t="n">
        <x:f>K23/'加载时长与峰位'!$B$4</x:f>
        <x:v>0.10024706016411994</x:v>
      </x:c>
      <x:c r="O23" s="20" t="n">
        <x:v>2.1214868004282192</x:v>
      </x:c>
      <x:c r="P23" s="20" t="n">
        <x:v>1.8890554006452573</x:v>
      </x:c>
      <x:c r="Q23" s="21" t="n">
        <x:f>O23/P23-1</x:f>
        <x:v>0.12304107105782536</x:v>
      </x:c>
      <x:c r="R23" s="20" t="n">
        <x:v>2.591072741975712</x:v>
      </x:c>
      <x:c r="S23" s="20" t="n">
        <x:v>2.219805912481243</x:v>
      </x:c>
      <x:c r="T23" s="21" t="n">
        <x:f>R23/S23-1</x:f>
        <x:v>0.16725193288609463</x:v>
      </x:c>
      <x:c r="U23" s="4" t="str">
        <x:v>已有路径共同窗口，非新增验收；参考质量缺陷保持</x:v>
      </x:c>
    </x:row>
    <x:row r="24" ht="25" customHeight="1">
      <x:c r="A24" s="4" t="str">
        <x:v>28-H8</x:v>
      </x:c>
      <x:c r="B24" s="4" t="str">
        <x:v>diverse_28</x:v>
      </x:c>
      <x:c r="C24" s="4" t="str">
        <x:v>28-S40</x:v>
      </x:c>
      <x:c r="D24" s="4" t="str">
        <x:v>到15%</x:v>
      </x:c>
      <x:c r="E24" s="10" t="n">
        <x:v>0</x:v>
      </x:c>
      <x:c r="F24" s="10" t="n">
        <x:v>15</x:v>
      </x:c>
      <x:c r="G24" s="4" t="str">
        <x:v>否</x:v>
      </x:c>
      <x:c r="H24" s="4" t="str">
        <x:v>是</x:v>
      </x:c>
      <x:c r="I24" s="20" t="n">
        <x:v>4</x:v>
      </x:c>
      <x:c r="J24" s="20" t="n">
        <x:v>40</x:v>
      </x:c>
      <x:c r="K24" s="20" t="n">
        <x:v>0.2662352668394698</x:v>
      </x:c>
      <x:c r="L24" s="20" t="n">
        <x:v>2.243082284927368</x:v>
      </x:c>
      <x:c r="M24" s="21" t="n">
        <x:f>K24/L24</x:f>
        <x:v>0.11869170766871381</x:v>
      </x:c>
      <x:c r="N24" s="21" t="n">
        <x:f>K24/'加载时长与峰位'!$B$4</x:f>
        <x:v>0.11785983860653726</x:v>
      </x:c>
      <x:c r="O24" s="20" t="n">
        <x:v>2.88550770300131</x:v>
      </x:c>
      <x:c r="P24" s="20" t="n">
        <x:v>2.537168541582366</x:v>
      </x:c>
      <x:c r="Q24" s="21" t="n">
        <x:f>O24/P24-1</x:f>
        <x:v>0.1372944507666385</x:v>
      </x:c>
      <x:c r="R24" s="20" t="n">
        <x:v>2.481778951186179</x:v>
      </x:c>
      <x:c r="S24" s="20" t="n">
        <x:v>2.0904140550078156</x:v>
      </x:c>
      <x:c r="T24" s="21" t="n">
        <x:f>R24/S24-1</x:f>
        <x:v>0.1872188408037183</x:v>
      </x:c>
      <x:c r="U24" s="4" t="str">
        <x:v>已有路径共同窗口，非新增验收；参考质量缺陷保持</x:v>
      </x:c>
    </x:row>
    <x:row r="25" ht="25" customHeight="1">
      <x:c r="A25" s="4" t="str">
        <x:v>28-H8</x:v>
      </x:c>
      <x:c r="B25" s="4" t="str">
        <x:v>diverse_28</x:v>
      </x:c>
      <x:c r="C25" s="4" t="str">
        <x:v>28-S40</x:v>
      </x:c>
      <x:c r="D25" s="4" t="str">
        <x:v>到20%</x:v>
      </x:c>
      <x:c r="E25" s="10" t="n">
        <x:v>0</x:v>
      </x:c>
      <x:c r="F25" s="10" t="n">
        <x:v>19.999999996805666</x:v>
      </x:c>
      <x:c r="G25" s="4" t="str">
        <x:v>否</x:v>
      </x:c>
      <x:c r="H25" s="4" t="str">
        <x:v>是</x:v>
      </x:c>
      <x:c r="I25" s="20" t="n">
        <x:v>4</x:v>
      </x:c>
      <x:c r="J25" s="20" t="n">
        <x:v>40</x:v>
      </x:c>
      <x:c r="K25" s="20" t="n">
        <x:v>0.30348022070160374</x:v>
      </x:c>
      <x:c r="L25" s="20" t="n">
        <x:v>2.243082284927368</x:v>
      </x:c>
      <x:c r="M25" s="21" t="n">
        <x:f>K25/L25</x:f>
        <x:v>0.13529607127695298</x:v>
      </x:c>
      <x:c r="N25" s="21" t="n">
        <x:f>K25/'加载时长与峰位'!$B$4</x:f>
        <x:v>0.13434782798228684</x:v>
      </x:c>
      <x:c r="O25" s="20" t="n">
        <x:v>4.062851590436535</x:v>
      </x:c>
      <x:c r="P25" s="20" t="n">
        <x:v>3.517171225503869</x:v>
      </x:c>
      <x:c r="Q25" s="21" t="n">
        <x:f>O25/P25-1</x:f>
        <x:v>0.15514751200504673</x:v>
      </x:c>
      <x:c r="R25" s="20" t="n">
        <x:v>2.2409184047735686</x:v>
      </x:c>
      <x:c r="S25" s="20" t="n">
        <x:v>1.8314450076980007</x:v>
      </x:c>
      <x:c r="T25" s="21" t="n">
        <x:f>R25/S25-1</x:f>
        <x:v>0.22357941153267147</x:v>
      </x:c>
      <x:c r="U25" s="4" t="str">
        <x:v>已有路径共同窗口，非新增验收；参考质量缺陷保持</x:v>
      </x:c>
    </x:row>
    <x:row r="26" ht="25" customHeight="1">
      <x:c r="A26" s="4" t="str">
        <x:v>28-Dminus</x:v>
      </x:c>
      <x:c r="B26" s="4" t="str">
        <x:v>diverse_28</x:v>
      </x:c>
      <x:c r="C26" s="4" t="str">
        <x:v>28-S40</x:v>
      </x:c>
      <x:c r="D26" s="4" t="str">
        <x:v>到5%</x:v>
      </x:c>
      <x:c r="E26" s="10" t="n">
        <x:v>0</x:v>
      </x:c>
      <x:c r="F26" s="10" t="n">
        <x:v>5</x:v>
      </x:c>
      <x:c r="G26" s="4" t="str">
        <x:v>否</x:v>
      </x:c>
      <x:c r="H26" s="4" t="str">
        <x:v>否</x:v>
      </x:c>
      <x:c r="I26" s="20" t="n">
        <x:v>4</x:v>
      </x:c>
      <x:c r="J26" s="20" t="n">
        <x:v>40</x:v>
      </x:c>
      <x:c r="K26" s="20" t="n">
        <x:v>0.046960347537201304</x:v>
      </x:c>
      <x:c r="L26" s="20" t="n">
        <x:v>2.243082284927368</x:v>
      </x:c>
      <x:c r="M26" s="21" t="n">
        <x:f>K26/L26</x:f>
        <x:v>0.020935633013891817</x:v>
      </x:c>
      <x:c r="N26" s="21" t="n">
        <x:f>K26/'加载时长与峰位'!$B$4</x:f>
        <x:v>0.02078890241456513</x:v>
      </x:c>
      <x:c r="O26" s="20" t="n">
        <x:v>0.45131383719195867</x:v>
      </x:c>
      <x:c r="P26" s="20" t="n">
        <x:v>0.42995234164874585</x:v>
      </x:c>
      <x:c r="Q26" s="21" t="n">
        <x:f>O26/P26-1</x:f>
        <x:v>0.049683403191380426</x:v>
      </x:c>
      <x:c r="R26" s="20" t="n">
        <x:v>1.6896554222646087</x:v>
      </x:c>
      <x:c r="S26" s="20" t="n">
        <x:v>1.6103992253526205</x:v>
      </x:c>
      <x:c r="T26" s="21" t="n">
        <x:f>R26/S26-1</x:f>
        <x:v>0.04921524778716524</x:v>
      </x:c>
      <x:c r="U26" s="4" t="str">
        <x:v>已有路径共同窗口，非新增验收；参考质量缺陷保持</x:v>
      </x:c>
    </x:row>
    <x:row r="27" ht="25" customHeight="1">
      <x:c r="A27" s="4" t="str">
        <x:v>28-Dminus</x:v>
      </x:c>
      <x:c r="B27" s="4" t="str">
        <x:v>diverse_28</x:v>
      </x:c>
      <x:c r="C27" s="4" t="str">
        <x:v>28-S40</x:v>
      </x:c>
      <x:c r="D27" s="4" t="str">
        <x:v>到10%</x:v>
      </x:c>
      <x:c r="E27" s="10" t="n">
        <x:v>0</x:v>
      </x:c>
      <x:c r="F27" s="10" t="n">
        <x:v>10</x:v>
      </x:c>
      <x:c r="G27" s="4" t="str">
        <x:v>否</x:v>
      </x:c>
      <x:c r="H27" s="4" t="str">
        <x:v>否</x:v>
      </x:c>
      <x:c r="I27" s="20" t="n">
        <x:v>4</x:v>
      </x:c>
      <x:c r="J27" s="20" t="n">
        <x:v>40</x:v>
      </x:c>
      <x:c r="K27" s="20" t="n">
        <x:v>0.08679642057121344</x:v>
      </x:c>
      <x:c r="L27" s="20" t="n">
        <x:v>2.243082284927368</x:v>
      </x:c>
      <x:c r="M27" s="21" t="n">
        <x:f>K27/L27</x:f>
        <x:v>0.03869515672895787</x:v>
      </x:c>
      <x:c r="N27" s="21" t="n">
        <x:f>K27/'加载时长与峰位'!$B$4</x:f>
        <x:v>0.038423955780120415</x:v>
      </x:c>
      <x:c r="O27" s="20" t="n">
        <x:v>1.5193187677336035</x:v>
      </x:c>
      <x:c r="P27" s="20" t="n">
        <x:v>1.441693498877864</x:v>
      </x:c>
      <x:c r="Q27" s="21" t="n">
        <x:f>O27/P27-1</x:f>
        <x:v>0.05384311500062866</x:v>
      </x:c>
      <x:c r="R27" s="20" t="n">
        <x:v>2.361556204993487</x:v>
      </x:c>
      <x:c r="S27" s="20" t="n">
        <x:v>2.2387674044908055</x:v>
      </x:c>
      <x:c r="T27" s="21" t="n">
        <x:f>R27/S27-1</x:f>
        <x:v>0.05484660901189464</x:v>
      </x:c>
      <x:c r="U27" s="4" t="str">
        <x:v>已有路径共同窗口，非新增验收；参考质量缺陷保持</x:v>
      </x:c>
    </x:row>
    <x:row r="28" ht="25" customHeight="1">
      <x:c r="A28" s="4" t="str">
        <x:v>28-Dminus</x:v>
      </x:c>
      <x:c r="B28" s="4" t="str">
        <x:v>diverse_28</x:v>
      </x:c>
      <x:c r="C28" s="4" t="str">
        <x:v>28-S40</x:v>
      </x:c>
      <x:c r="D28" s="4" t="str">
        <x:v>到12%</x:v>
      </x:c>
      <x:c r="E28" s="10" t="n">
        <x:v>0</x:v>
      </x:c>
      <x:c r="F28" s="10" t="n">
        <x:v>12</x:v>
      </x:c>
      <x:c r="G28" s="4" t="str">
        <x:v>否</x:v>
      </x:c>
      <x:c r="H28" s="4" t="str">
        <x:v>否</x:v>
      </x:c>
      <x:c r="I28" s="20" t="n">
        <x:v>4</x:v>
      </x:c>
      <x:c r="J28" s="20" t="n">
        <x:v>40</x:v>
      </x:c>
      <x:c r="K28" s="20" t="n">
        <x:v>0.09313103143867046</x:v>
      </x:c>
      <x:c r="L28" s="20" t="n">
        <x:v>2.243082284927368</x:v>
      </x:c>
      <x:c r="M28" s="21" t="n">
        <x:f>K28/L28</x:f>
        <x:v>0.04151922203856471</x:v>
      </x:c>
      <x:c r="N28" s="21" t="n">
        <x:f>K28/'加载时长与峰位'!$B$4</x:f>
        <x:v>0.0412282281942776</x:v>
      </x:c>
      <x:c r="O28" s="20" t="n">
        <x:v>1.9906603026826226</x:v>
      </x:c>
      <x:c r="P28" s="20" t="n">
        <x:v>1.8890554006452573</x:v>
      </x:c>
      <x:c r="Q28" s="21" t="n">
        <x:f>O28/P28-1</x:f>
        <x:v>0.053786089070050336</x:v>
      </x:c>
      <x:c r="R28" s="20" t="n">
        <x:v>2.340034493920908</x:v>
      </x:c>
      <x:c r="S28" s="20" t="n">
        <x:v>2.219805912481243</x:v>
      </x:c>
      <x:c r="T28" s="21" t="n">
        <x:f>R28/S28-1</x:f>
        <x:v>0.05416175385589295</x:v>
      </x:c>
      <x:c r="U28" s="4" t="str">
        <x:v>已有路径共同窗口，非新增验收；参考质量缺陷保持</x:v>
      </x:c>
    </x:row>
    <x:row r="29" ht="25" customHeight="1">
      <x:c r="A29" s="4" t="str">
        <x:v>28-Dminus</x:v>
      </x:c>
      <x:c r="B29" s="4" t="str">
        <x:v>diverse_28</x:v>
      </x:c>
      <x:c r="C29" s="4" t="str">
        <x:v>28-S40</x:v>
      </x:c>
      <x:c r="D29" s="4" t="str">
        <x:v>到15%</x:v>
      </x:c>
      <x:c r="E29" s="10" t="n">
        <x:v>0</x:v>
      </x:c>
      <x:c r="F29" s="10" t="n">
        <x:v>15</x:v>
      </x:c>
      <x:c r="G29" s="4" t="str">
        <x:v>否</x:v>
      </x:c>
      <x:c r="H29" s="4" t="str">
        <x:v>否</x:v>
      </x:c>
      <x:c r="I29" s="20" t="n">
        <x:v>4</x:v>
      </x:c>
      <x:c r="J29" s="20" t="n">
        <x:v>40</x:v>
      </x:c>
      <x:c r="K29" s="20" t="n">
        <x:v>0.09933738708411412</x:v>
      </x:c>
      <x:c r="L29" s="20" t="n">
        <x:v>2.243082284927368</x:v>
      </x:c>
      <x:c r="M29" s="21" t="n">
        <x:f>K29/L29</x:f>
        <x:v>0.04428610923086609</x:v>
      </x:c>
      <x:c r="N29" s="21" t="n">
        <x:f>K29/'加载时长与峰位'!$B$4</x:f>
        <x:v>0.043975723232746025</x:v>
      </x:c>
      <x:c r="O29" s="20" t="n">
        <x:v>2.675082747176856</x:v>
      </x:c>
      <x:c r="P29" s="20" t="n">
        <x:v>2.537168541582366</x:v>
      </x:c>
      <x:c r="Q29" s="21" t="n">
        <x:f>O29/P29-1</x:f>
        <x:v>0.054357526247931665</x:v>
      </x:c>
      <x:c r="R29" s="20" t="n">
        <x:v>2.2097066963754965</x:v>
      </x:c>
      <x:c r="S29" s="20" t="n">
        <x:v>2.0904140550078156</x:v>
      </x:c>
      <x:c r="T29" s="21" t="n">
        <x:f>R29/S29-1</x:f>
        <x:v>0.057066513249804496</x:v>
      </x:c>
      <x:c r="U29" s="4" t="str">
        <x:v>已有路径共同窗口，非新增验收；参考质量缺陷保持</x:v>
      </x:c>
    </x:row>
    <x:row r="30" ht="25" customHeight="1">
      <x:c r="A30" s="4" t="str">
        <x:v>28-Dminus</x:v>
      </x:c>
      <x:c r="B30" s="4" t="str">
        <x:v>diverse_28</x:v>
      </x:c>
      <x:c r="C30" s="4" t="str">
        <x:v>28-S40</x:v>
      </x:c>
      <x:c r="D30" s="4" t="str">
        <x:v>到20%</x:v>
      </x:c>
      <x:c r="E30" s="10" t="n">
        <x:v>0</x:v>
      </x:c>
      <x:c r="F30" s="10" t="n">
        <x:v>19.9999999968057</x:v>
      </x:c>
      <x:c r="G30" s="4" t="str">
        <x:v>否</x:v>
      </x:c>
      <x:c r="H30" s="4" t="str">
        <x:v>否</x:v>
      </x:c>
      <x:c r="I30" s="20" t="n">
        <x:v>4</x:v>
      </x:c>
      <x:c r="J30" s="20" t="n">
        <x:v>40</x:v>
      </x:c>
      <x:c r="K30" s="20" t="n">
        <x:v>0.10596813643408567</x:v>
      </x:c>
      <x:c r="L30" s="20" t="n">
        <x:v>2.243082284927368</x:v>
      </x:c>
      <x:c r="M30" s="21" t="n">
        <x:f>K30/L30</x:f>
        <x:v>0.04724219755385254</x:v>
      </x:c>
      <x:c r="N30" s="21" t="n">
        <x:f>K30/'加载时长与峰位'!$B$4</x:f>
        <x:v>0.04691109335671711</x:v>
      </x:c>
      <x:c r="O30" s="20" t="n">
        <x:v>3.7169283397755484</x:v>
      </x:c>
      <x:c r="P30" s="20" t="n">
        <x:v>3.5171712255038745</x:v>
      </x:c>
      <x:c r="Q30" s="21" t="n">
        <x:f>O30/P30-1</x:f>
        <x:v>0.056794822163671155</x:v>
      </x:c>
      <x:c r="R30" s="20" t="n">
        <x:v>1.9768215825970206</x:v>
      </x:c>
      <x:c r="S30" s="20" t="n">
        <x:v>1.8314450076980693</x:v>
      </x:c>
      <x:c r="T30" s="21" t="n">
        <x:f>R30/S30-1</x:f>
        <x:v>0.0793780726627844</x:v>
      </x:c>
      <x:c r="U30" s="4" t="str">
        <x:v>已有路径共同窗口，非新增验收；参考质量缺陷保持</x:v>
      </x:c>
    </x:row>
    <x:row r="31" ht="25" customHeight="1">
      <x:c r="A31" s="4" t="str">
        <x:v>28-Dplus</x:v>
      </x:c>
      <x:c r="B31" s="4" t="str">
        <x:v>diverse_28</x:v>
      </x:c>
      <x:c r="C31" s="4" t="str">
        <x:v>28-S40</x:v>
      </x:c>
      <x:c r="D31" s="4" t="str">
        <x:v>到5%</x:v>
      </x:c>
      <x:c r="E31" s="10" t="n">
        <x:v>0</x:v>
      </x:c>
      <x:c r="F31" s="10" t="n">
        <x:v>5</x:v>
      </x:c>
      <x:c r="G31" s="4" t="str">
        <x:v>否</x:v>
      </x:c>
      <x:c r="H31" s="4" t="str">
        <x:v>否</x:v>
      </x:c>
      <x:c r="I31" s="20" t="n">
        <x:v>4</x:v>
      </x:c>
      <x:c r="J31" s="20" t="n">
        <x:v>40</x:v>
      </x:c>
      <x:c r="K31" s="20" t="n">
        <x:v>0.061883963396720434</x:v>
      </x:c>
      <x:c r="L31" s="20" t="n">
        <x:v>2.243082284927368</x:v>
      </x:c>
      <x:c r="M31" s="21" t="n">
        <x:f>K31/L31</x:f>
        <x:v>0.0275888066222788</x:v>
      </x:c>
      <x:c r="N31" s="21" t="n">
        <x:f>K31/'加载时长与峰位'!$B$4</x:f>
        <x:v>0.02739544623390607</x:v>
      </x:c>
      <x:c r="O31" s="20" t="n">
        <x:v>0.4577881772538545</x:v>
      </x:c>
      <x:c r="P31" s="20" t="n">
        <x:v>0.42995234164874585</x:v>
      </x:c>
      <x:c r="Q31" s="21" t="n">
        <x:f>O31/P31-1</x:f>
        <x:v>0.06474167694578914</x:v>
      </x:c>
      <x:c r="R31" s="20" t="n">
        <x:v>1.7159640371378044</x:v>
      </x:c>
      <x:c r="S31" s="20" t="n">
        <x:v>1.6103992253526205</x:v>
      </x:c>
      <x:c r="T31" s="21" t="n">
        <x:f>R31/S31-1</x:f>
        <x:v>0.06555195141879744</x:v>
      </x:c>
      <x:c r="U31" s="4" t="str">
        <x:v>已有路径共同窗口，非新增验收；参考质量缺陷保持</x:v>
      </x:c>
    </x:row>
    <x:row r="32" ht="25" customHeight="1">
      <x:c r="A32" s="4" t="str">
        <x:v>28-Dplus</x:v>
      </x:c>
      <x:c r="B32" s="4" t="str">
        <x:v>diverse_28</x:v>
      </x:c>
      <x:c r="C32" s="4" t="str">
        <x:v>28-S40</x:v>
      </x:c>
      <x:c r="D32" s="4" t="str">
        <x:v>到10%</x:v>
      </x:c>
      <x:c r="E32" s="10" t="n">
        <x:v>0</x:v>
      </x:c>
      <x:c r="F32" s="10" t="n">
        <x:v>10</x:v>
      </x:c>
      <x:c r="G32" s="4" t="str">
        <x:v>否</x:v>
      </x:c>
      <x:c r="H32" s="4" t="str">
        <x:v>否</x:v>
      </x:c>
      <x:c r="I32" s="20" t="n">
        <x:v>4</x:v>
      </x:c>
      <x:c r="J32" s="20" t="n">
        <x:v>40</x:v>
      </x:c>
      <x:c r="K32" s="20" t="n">
        <x:v>0.11777526668102353</x:v>
      </x:c>
      <x:c r="L32" s="20" t="n">
        <x:v>2.243082284927368</x:v>
      </x:c>
      <x:c r="M32" s="21" t="n">
        <x:f>K32/L32</x:f>
        <x:v>0.052505994752143986</x:v>
      </x:c>
      <x:c r="N32" s="21" t="n">
        <x:f>K32/'加载时长与峰位'!$B$4</x:f>
        <x:v>0.0521379984239167</x:v>
      </x:c>
      <x:c r="O32" s="20" t="n">
        <x:v>1.5460667849088836</x:v>
      </x:c>
      <x:c r="P32" s="20" t="n">
        <x:v>1.441693498877864</x:v>
      </x:c>
      <x:c r="Q32" s="21" t="n">
        <x:f>O32/P32-1</x:f>
        <x:v>0.0723963076148002</x:v>
      </x:c>
      <x:c r="R32" s="20" t="n">
        <x:v>2.4147979834971296</x:v>
      </x:c>
      <x:c r="S32" s="20" t="n">
        <x:v>2.2387674044908055</x:v>
      </x:c>
      <x:c r="T32" s="21" t="n">
        <x:f>R32/S32-1</x:f>
        <x:v>0.07862834640758987</x:v>
      </x:c>
      <x:c r="U32" s="4" t="str">
        <x:v>已有路径共同窗口，非新增验收；参考质量缺陷保持</x:v>
      </x:c>
    </x:row>
    <x:row r="33" ht="25" customHeight="1">
      <x:c r="A33" s="4" t="str">
        <x:v>28-Dplus</x:v>
      </x:c>
      <x:c r="B33" s="4" t="str">
        <x:v>diverse_28</x:v>
      </x:c>
      <x:c r="C33" s="4" t="str">
        <x:v>28-S40</x:v>
      </x:c>
      <x:c r="D33" s="4" t="str">
        <x:v>到12%</x:v>
      </x:c>
      <x:c r="E33" s="10" t="n">
        <x:v>0</x:v>
      </x:c>
      <x:c r="F33" s="10" t="n">
        <x:v>12</x:v>
      </x:c>
      <x:c r="G33" s="4" t="str">
        <x:v>否</x:v>
      </x:c>
      <x:c r="H33" s="4" t="str">
        <x:v>否</x:v>
      </x:c>
      <x:c r="I33" s="20" t="n">
        <x:v>4</x:v>
      </x:c>
      <x:c r="J33" s="20" t="n">
        <x:v>40</x:v>
      </x:c>
      <x:c r="K33" s="20" t="n">
        <x:v>0.1291998428936919</x:v>
      </x:c>
      <x:c r="L33" s="20" t="n">
        <x:v>2.243082284927368</x:v>
      </x:c>
      <x:c r="M33" s="21" t="n">
        <x:f>K33/L33</x:f>
        <x:v>0.05759924357740422</x:v>
      </x:c>
      <x:c r="N33" s="21" t="n">
        <x:f>K33/'加载时长与峰位'!$B$4</x:f>
        <x:v>0.057195550432550736</x:v>
      </x:c>
      <x:c r="O33" s="20" t="n">
        <x:v>2.0285324078773344</x:v>
      </x:c>
      <x:c r="P33" s="20" t="n">
        <x:v>1.8890554006452573</x:v>
      </x:c>
      <x:c r="Q33" s="21" t="n">
        <x:f>O33/P33-1</x:f>
        <x:v>0.07383425980224567</x:v>
      </x:c>
      <x:c r="R33" s="20" t="n">
        <x:v>2.397369371000492</x:v>
      </x:c>
      <x:c r="S33" s="20" t="n">
        <x:v>2.219805912481243</x:v>
      </x:c>
      <x:c r="T33" s="21" t="n">
        <x:f>R33/S33-1</x:f>
        <x:v>0.0799905331907027</x:v>
      </x:c>
      <x:c r="U33" s="4" t="str">
        <x:v>已有路径共同窗口，非新增验收；参考质量缺陷保持</x:v>
      </x:c>
    </x:row>
    <x:row r="34" ht="25" customHeight="1">
      <x:c r="A34" s="4" t="str">
        <x:v>28-Dplus</x:v>
      </x:c>
      <x:c r="B34" s="4" t="str">
        <x:v>diverse_28</x:v>
      </x:c>
      <x:c r="C34" s="4" t="str">
        <x:v>28-S40</x:v>
      </x:c>
      <x:c r="D34" s="4" t="str">
        <x:v>到15%</x:v>
      </x:c>
      <x:c r="E34" s="10" t="n">
        <x:v>0</x:v>
      </x:c>
      <x:c r="F34" s="10" t="n">
        <x:v>15</x:v>
      </x:c>
      <x:c r="G34" s="4" t="str">
        <x:v>否</x:v>
      </x:c>
      <x:c r="H34" s="4" t="str">
        <x:v>否</x:v>
      </x:c>
      <x:c r="I34" s="20" t="n">
        <x:v>4</x:v>
      </x:c>
      <x:c r="J34" s="20" t="n">
        <x:v>40</x:v>
      </x:c>
      <x:c r="K34" s="20" t="n">
        <x:v>0.14068861250483483</x:v>
      </x:c>
      <x:c r="L34" s="20" t="n">
        <x:v>2.243082284927368</x:v>
      </x:c>
      <x:c r="M34" s="21" t="n">
        <x:f>K34/L34</x:f>
        <x:v>0.06272111079036513</x:v>
      </x:c>
      <x:c r="N34" s="21" t="n">
        <x:f>K34/'加载时长与峰位'!$B$4</x:f>
        <x:v>0.062281520252519956</x:v>
      </x:c>
      <x:c r="O34" s="20" t="n">
        <x:v>2.730480740354496</x:v>
      </x:c>
      <x:c r="P34" s="20" t="n">
        <x:v>2.537168541582366</x:v>
      </x:c>
      <x:c r="Q34" s="21" t="n">
        <x:f>O34/P34-1</x:f>
        <x:v>0.07619209981673758</x:v>
      </x:c>
      <x:c r="R34" s="20" t="n">
        <x:v>2.2679859219861562</x:v>
      </x:c>
      <x:c r="S34" s="20" t="n">
        <x:v>2.0904140550078156</x:v>
      </x:c>
      <x:c r="T34" s="21" t="n">
        <x:f>R34/S34-1</x:f>
        <x:v>0.08494578696165367</x:v>
      </x:c>
      <x:c r="U34" s="4" t="str">
        <x:v>已有路径共同窗口，非新增验收；参考质量缺陷保持</x:v>
      </x:c>
    </x:row>
    <x:row r="35" ht="25" customHeight="1">
      <x:c r="A35" s="4" t="str">
        <x:v>28-Dplus</x:v>
      </x:c>
      <x:c r="B35" s="4" t="str">
        <x:v>diverse_28</x:v>
      </x:c>
      <x:c r="C35" s="4" t="str">
        <x:v>28-S40</x:v>
      </x:c>
      <x:c r="D35" s="4" t="str">
        <x:v>到20%</x:v>
      </x:c>
      <x:c r="E35" s="10" t="n">
        <x:v>0</x:v>
      </x:c>
      <x:c r="F35" s="10" t="n">
        <x:v>19.9999999968057</x:v>
      </x:c>
      <x:c r="G35" s="4" t="str">
        <x:v>否</x:v>
      </x:c>
      <x:c r="H35" s="4" t="str">
        <x:v>否</x:v>
      </x:c>
      <x:c r="I35" s="20" t="n">
        <x:v>4</x:v>
      </x:c>
      <x:c r="J35" s="20" t="n">
        <x:v>40</x:v>
      </x:c>
      <x:c r="K35" s="20" t="n">
        <x:v>0.1515324785319388</x:v>
      </x:c>
      <x:c r="L35" s="20" t="n">
        <x:v>2.243082284927368</x:v>
      </x:c>
      <x:c r="M35" s="21" t="n">
        <x:f>K35/L35</x:f>
        <x:v>0.0675554702340514</x:v>
      </x:c>
      <x:c r="N35" s="21" t="n">
        <x:f>K35/'加载时长与峰位'!$B$4</x:f>
        <x:v>0.06708199734557167</x:v>
      </x:c>
      <x:c r="O35" s="20" t="n">
        <x:v>3.8005668321899524</x:v>
      </x:c>
      <x:c r="P35" s="20" t="n">
        <x:v>3.5171712255038745</x:v>
      </x:c>
      <x:c r="Q35" s="21" t="n">
        <x:f>O35/P35-1</x:f>
        <x:v>0.08057486784581491</x:v>
      </x:c>
      <x:c r="R35" s="20" t="n">
        <x:v>2.031532356106844</x:v>
      </x:c>
      <x:c r="S35" s="20" t="n">
        <x:v>1.8314450076980693</x:v>
      </x:c>
      <x:c r="T35" s="21" t="n">
        <x:f>R35/S35-1</x:f>
        <x:v>0.10925108183306209</x:v>
      </x:c>
      <x:c r="U35" s="4" t="str">
        <x:v>已有路径共同窗口，非新增验收；参考质量缺陷保持</x:v>
      </x:c>
    </x:row>
    <x:row r="36" ht="25" customHeight="1">
      <x:c r="A36" s="4" t="str">
        <x:v>28-NH4</x:v>
      </x:c>
      <x:c r="B36" s="4" t="str">
        <x:v>diverse_28</x:v>
      </x:c>
      <x:c r="C36" s="4" t="str">
        <x:v>28-S40</x:v>
      </x:c>
      <x:c r="D36" s="4" t="str">
        <x:v>到5%</x:v>
      </x:c>
      <x:c r="E36" s="10" t="n">
        <x:v>0</x:v>
      </x:c>
      <x:c r="F36" s="10" t="n">
        <x:v>5</x:v>
      </x:c>
      <x:c r="G36" s="4" t="str">
        <x:v>否</x:v>
      </x:c>
      <x:c r="H36" s="4" t="str">
        <x:v>是</x:v>
      </x:c>
      <x:c r="I36" s="20" t="n">
        <x:v>4</x:v>
      </x:c>
      <x:c r="J36" s="20" t="n">
        <x:v>40</x:v>
      </x:c>
      <x:c r="K36" s="20" t="n">
        <x:v>0.054415527299350314</x:v>
      </x:c>
      <x:c r="L36" s="20" t="n">
        <x:v>2.243082284927368</x:v>
      </x:c>
      <x:c r="M36" s="21" t="n">
        <x:f>K36/L36</x:f>
        <x:v>0.024259264880740792</x:v>
      </x:c>
      <x:c r="N36" s="21" t="n">
        <x:f>K36/'加载时长与峰位'!$B$4</x:f>
        <x:v>0.024089240097023287</x:v>
      </x:c>
      <x:c r="O36" s="20" t="n">
        <x:v>0.4545499591608387</x:v>
      </x:c>
      <x:c r="P36" s="20" t="n">
        <x:v>0.42995234164874585</x:v>
      </x:c>
      <x:c r="Q36" s="21" t="n">
        <x:f>O36/P36-1</x:f>
        <x:v>0.05721010244476843</x:v>
      </x:c>
      <x:c r="R36" s="20" t="n">
        <x:v>1.702802568494709</x:v>
      </x:c>
      <x:c r="S36" s="20" t="n">
        <x:v>1.6103992253526205</x:v>
      </x:c>
      <x:c r="T36" s="21" t="n">
        <x:f>R36/S36-1</x:f>
        <x:v>0.05737915275130323</x:v>
      </x:c>
      <x:c r="U36" s="4" t="str">
        <x:v>已有路径共同窗口，非新增验收；参考质量缺陷保持</x:v>
      </x:c>
    </x:row>
    <x:row r="37" ht="25" customHeight="1">
      <x:c r="A37" s="4" t="str">
        <x:v>28-NH4</x:v>
      </x:c>
      <x:c r="B37" s="4" t="str">
        <x:v>diverse_28</x:v>
      </x:c>
      <x:c r="C37" s="4" t="str">
        <x:v>28-S40</x:v>
      </x:c>
      <x:c r="D37" s="4" t="str">
        <x:v>到10%</x:v>
      </x:c>
      <x:c r="E37" s="10" t="n">
        <x:v>0</x:v>
      </x:c>
      <x:c r="F37" s="10" t="n">
        <x:v>10</x:v>
      </x:c>
      <x:c r="G37" s="4" t="str">
        <x:v>否</x:v>
      </x:c>
      <x:c r="H37" s="4" t="str">
        <x:v>是</x:v>
      </x:c>
      <x:c r="I37" s="20" t="n">
        <x:v>4</x:v>
      </x:c>
      <x:c r="J37" s="20" t="n">
        <x:v>40</x:v>
      </x:c>
      <x:c r="K37" s="20" t="n">
        <x:v>0.10225401297720821</x:v>
      </x:c>
      <x:c r="L37" s="20" t="n">
        <x:v>2.243082284927368</x:v>
      </x:c>
      <x:c r="M37" s="21" t="n">
        <x:f>K37/L37</x:f>
        <x:v>0.04558638515595928</x:v>
      </x:c>
      <x:c r="N37" s="21" t="n">
        <x:f>K37/'加载时长与峰位'!$B$4</x:f>
        <x:v>0.04526688597431845</x:v>
      </x:c>
      <x:c r="O37" s="20" t="n">
        <x:v>1.5326760021809307</x:v>
      </x:c>
      <x:c r="P37" s="20" t="n">
        <x:v>1.441693498877864</x:v>
      </x:c>
      <x:c r="Q37" s="21" t="n">
        <x:f>O37/P37-1</x:f>
        <x:v>0.06310807628242943</x:v>
      </x:c>
      <x:c r="R37" s="20" t="n">
        <x:v>2.3880968769606032</x:v>
      </x:c>
      <x:c r="S37" s="20" t="n">
        <x:v>2.2387674044908055</x:v>
      </x:c>
      <x:c r="T37" s="21" t="n">
        <x:f>R37/S37-1</x:f>
        <x:v>0.0667016467053494</x:v>
      </x:c>
      <x:c r="U37" s="4" t="str">
        <x:v>已有路径共同窗口，非新增验收；参考质量缺陷保持</x:v>
      </x:c>
    </x:row>
    <x:row r="38" ht="25" customHeight="1">
      <x:c r="A38" s="4" t="str">
        <x:v>28-NH4</x:v>
      </x:c>
      <x:c r="B38" s="4" t="str">
        <x:v>diverse_28</x:v>
      </x:c>
      <x:c r="C38" s="4" t="str">
        <x:v>28-S40</x:v>
      </x:c>
      <x:c r="D38" s="4" t="str">
        <x:v>到12%</x:v>
      </x:c>
      <x:c r="E38" s="10" t="n">
        <x:v>0</x:v>
      </x:c>
      <x:c r="F38" s="10" t="n">
        <x:v>12</x:v>
      </x:c>
      <x:c r="G38" s="4" t="str">
        <x:v>否</x:v>
      </x:c>
      <x:c r="H38" s="4" t="str">
        <x:v>是</x:v>
      </x:c>
      <x:c r="I38" s="20" t="n">
        <x:v>4</x:v>
      </x:c>
      <x:c r="J38" s="20" t="n">
        <x:v>40</x:v>
      </x:c>
      <x:c r="K38" s="20" t="n">
        <x:v>0.11110197265566792</x:v>
      </x:c>
      <x:c r="L38" s="20" t="n">
        <x:v>2.243082284927368</x:v>
      </x:c>
      <x:c r="M38" s="21" t="n">
        <x:f>K38/L38</x:f>
        <x:v>0.049530939369558366</x:v>
      </x:c>
      <x:c r="N38" s="21" t="n">
        <x:f>K38/'加载时长与峰位'!$B$4</x:f>
        <x:v>0.04918379417389666</x:v>
      </x:c>
      <x:c r="O38" s="20" t="n">
        <x:v>2.009559129907053</x:v>
      </x:c>
      <x:c r="P38" s="20" t="n">
        <x:v>1.8890554006452573</x:v>
      </x:c>
      <x:c r="Q38" s="21" t="n">
        <x:f>O38/P38-1</x:f>
        <x:v>0.0637904686229076</x:v>
      </x:c>
      <x:c r="R38" s="20" t="n">
        <x:v>2.368582764291975</x:v>
      </x:c>
      <x:c r="S38" s="20" t="n">
        <x:v>2.219805912481243</x:v>
      </x:c>
      <x:c r="T38" s="21" t="n">
        <x:f>R38/S38-1</x:f>
        <x:v>0.06702245947459118</x:v>
      </x:c>
      <x:c r="U38" s="4" t="str">
        <x:v>已有路径共同窗口，非新增验收；参考质量缺陷保持</x:v>
      </x:c>
    </x:row>
    <x:row r="39" ht="25" customHeight="1">
      <x:c r="A39" s="4" t="str">
        <x:v>28-NH4</x:v>
      </x:c>
      <x:c r="B39" s="4" t="str">
        <x:v>diverse_28</x:v>
      </x:c>
      <x:c r="C39" s="4" t="str">
        <x:v>28-S40</x:v>
      </x:c>
      <x:c r="D39" s="4" t="str">
        <x:v>到15%</x:v>
      </x:c>
      <x:c r="E39" s="10" t="n">
        <x:v>0</x:v>
      </x:c>
      <x:c r="F39" s="10" t="n">
        <x:v>15</x:v>
      </x:c>
      <x:c r="G39" s="4" t="str">
        <x:v>否</x:v>
      </x:c>
      <x:c r="H39" s="4" t="str">
        <x:v>是</x:v>
      </x:c>
      <x:c r="I39" s="20" t="n">
        <x:v>4</x:v>
      </x:c>
      <x:c r="J39" s="20" t="n">
        <x:v>40</x:v>
      </x:c>
      <x:c r="K39" s="20" t="n">
        <x:v>0.11991904502289455</x:v>
      </x:c>
      <x:c r="L39" s="20" t="n">
        <x:v>2.243082284927368</x:v>
      </x:c>
      <x:c r="M39" s="21" t="n">
        <x:f>K39/L39</x:f>
        <x:v>0.0534617235527664</x:v>
      </x:c>
      <x:c r="N39" s="21" t="n">
        <x:f>K39/'加载时长与峰位'!$B$4</x:f>
        <x:v>0.05308702885245664</x:v>
      </x:c>
      <x:c r="O39" s="20" t="n">
        <x:v>2.702704880886672</x:v>
      </x:c>
      <x:c r="P39" s="20" t="n">
        <x:v>2.537168541582366</x:v>
      </x:c>
      <x:c r="Q39" s="21" t="n">
        <x:f>O39/P39-1</x:f>
        <x:v>0.06524451828535804</x:v>
      </x:c>
      <x:c r="R39" s="20" t="n">
        <x:v>2.2386978170482696</x:v>
      </x:c>
      <x:c r="S39" s="20" t="n">
        <x:v>2.0904140550078156</x:v>
      </x:c>
      <x:c r="T39" s="21" t="n">
        <x:f>R39/S39-1</x:f>
        <x:v>0.07093511531135377</x:v>
      </x:c>
      <x:c r="U39" s="4" t="str">
        <x:v>已有路径共同窗口，非新增验收；参考质量缺陷保持</x:v>
      </x:c>
    </x:row>
    <x:row r="40" ht="25" customHeight="1">
      <x:c r="A40" s="4" t="str">
        <x:v>28-NH4</x:v>
      </x:c>
      <x:c r="B40" s="4" t="str">
        <x:v>diverse_28</x:v>
      </x:c>
      <x:c r="C40" s="4" t="str">
        <x:v>28-S40</x:v>
      </x:c>
      <x:c r="D40" s="4" t="str">
        <x:v>到20%</x:v>
      </x:c>
      <x:c r="E40" s="10" t="n">
        <x:v>0</x:v>
      </x:c>
      <x:c r="F40" s="10" t="n">
        <x:v>19.9999999968057</x:v>
      </x:c>
      <x:c r="G40" s="4" t="str">
        <x:v>否</x:v>
      </x:c>
      <x:c r="H40" s="4" t="str">
        <x:v>是</x:v>
      </x:c>
      <x:c r="I40" s="20" t="n">
        <x:v>4</x:v>
      </x:c>
      <x:c r="J40" s="20" t="n">
        <x:v>40</x:v>
      </x:c>
      <x:c r="K40" s="20" t="n">
        <x:v>0.12863868545998824</x:v>
      </x:c>
      <x:c r="L40" s="20" t="n">
        <x:v>2.243082284927368</x:v>
      </x:c>
      <x:c r="M40" s="21" t="n">
        <x:f>K40/L40</x:f>
        <x:v>0.057349071108264586</x:v>
      </x:c>
      <x:c r="N40" s="21" t="n">
        <x:f>K40/'加载时长与峰位'!$B$4</x:f>
        <x:v>0.0569471313355832</x:v>
      </x:c>
      <x:c r="O40" s="20" t="n">
        <x:v>3.7585997074507715</x:v>
      </x:c>
      <x:c r="P40" s="20" t="n">
        <x:v>3.5171712255038745</x:v>
      </x:c>
      <x:c r="Q40" s="21" t="n">
        <x:f>O40/P40-1</x:f>
        <x:v>0.06864280026978498</x:v>
      </x:c>
      <x:c r="R40" s="20" t="n">
        <x:v>2.0038901844797974</x:v>
      </x:c>
      <x:c r="S40" s="20" t="n">
        <x:v>1.8314450076980693</x:v>
      </x:c>
      <x:c r="T40" s="21" t="n">
        <x:f>R40/S40-1</x:f>
        <x:v>0.09415798784942675</x:v>
      </x:c>
      <x:c r="U40" s="4" t="str">
        <x:v>已有路径共同窗口，非新增验收；参考质量缺陷保持</x:v>
      </x:c>
    </x:row>
    <x:row r="41" ht="25" customHeight="1">
      <x:c r="A41" s="4" t="str">
        <x:v>28-NH8</x:v>
      </x:c>
      <x:c r="B41" s="4" t="str">
        <x:v>diverse_28</x:v>
      </x:c>
      <x:c r="C41" s="4" t="str">
        <x:v>28-S40</x:v>
      </x:c>
      <x:c r="D41" s="4" t="str">
        <x:v>到5%</x:v>
      </x:c>
      <x:c r="E41" s="10" t="n">
        <x:v>0</x:v>
      </x:c>
      <x:c r="F41" s="10" t="n">
        <x:v>5</x:v>
      </x:c>
      <x:c r="G41" s="4" t="str">
        <x:v>否</x:v>
      </x:c>
      <x:c r="H41" s="4" t="str">
        <x:v>是</x:v>
      </x:c>
      <x:c r="I41" s="20" t="n">
        <x:v>8</x:v>
      </x:c>
      <x:c r="J41" s="20" t="n">
        <x:v>40</x:v>
      </x:c>
      <x:c r="K41" s="20" t="n">
        <x:v>0.04287510027498385</x:v>
      </x:c>
      <x:c r="L41" s="20" t="n">
        <x:v>2.243082284927368</x:v>
      </x:c>
      <x:c r="M41" s="21" t="n">
        <x:f>K41/L41</x:f>
        <x:v>0.019114368011859253</x:v>
      </x:c>
      <x:c r="N41" s="21" t="n">
        <x:f>K41/'加载时长与峰位'!$B$4</x:f>
        <x:v>0.01898040202801391</x:v>
      </x:c>
      <x:c r="O41" s="20" t="n">
        <x:v>0.4485160473686523</x:v>
      </x:c>
      <x:c r="P41" s="20" t="n">
        <x:v>0.42995234164874585</x:v>
      </x:c>
      <x:c r="Q41" s="21" t="n">
        <x:f>O41/P41-1</x:f>
        <x:v>0.04317619401424788</x:v>
      </x:c>
      <x:c r="R41" s="20" t="n">
        <x:v>1.6873934004752777</x:v>
      </x:c>
      <x:c r="S41" s="20" t="n">
        <x:v>1.6103992253526205</x:v>
      </x:c>
      <x:c r="T41" s="21" t="n">
        <x:f>R41/S41-1</x:f>
        <x:v>0.04781061361091887</x:v>
      </x:c>
      <x:c r="U41" s="4" t="str">
        <x:v>已有路径共同窗口，非新增验收；参考质量缺陷保持</x:v>
      </x:c>
    </x:row>
    <x:row r="42" ht="25" customHeight="1">
      <x:c r="A42" s="4" t="str">
        <x:v>28-NH8</x:v>
      </x:c>
      <x:c r="B42" s="4" t="str">
        <x:v>diverse_28</x:v>
      </x:c>
      <x:c r="C42" s="4" t="str">
        <x:v>28-S40</x:v>
      </x:c>
      <x:c r="D42" s="4" t="str">
        <x:v>到10%</x:v>
      </x:c>
      <x:c r="E42" s="10" t="n">
        <x:v>0</x:v>
      </x:c>
      <x:c r="F42" s="10" t="n">
        <x:v>10</x:v>
      </x:c>
      <x:c r="G42" s="4" t="str">
        <x:v>否</x:v>
      </x:c>
      <x:c r="H42" s="4" t="str">
        <x:v>是</x:v>
      </x:c>
      <x:c r="I42" s="20" t="n">
        <x:v>8</x:v>
      </x:c>
      <x:c r="J42" s="20" t="n">
        <x:v>40</x:v>
      </x:c>
      <x:c r="K42" s="20" t="n">
        <x:v>0.09067992781212207</x:v>
      </x:c>
      <x:c r="L42" s="20" t="n">
        <x:v>2.243082284927368</x:v>
      </x:c>
      <x:c r="M42" s="21" t="n">
        <x:f>K42/L42</x:f>
        <x:v>0.04042648297900419</x:v>
      </x:c>
      <x:c r="N42" s="21" t="n">
        <x:f>K42/'加载时长与峰位'!$B$4</x:f>
        <x:v>0.04014314776424171</x:v>
      </x:c>
      <x:c r="O42" s="20" t="n">
        <x:v>1.5196892227108463</x:v>
      </x:c>
      <x:c r="P42" s="20" t="n">
        <x:v>1.441693498877864</x:v>
      </x:c>
      <x:c r="Q42" s="21" t="n">
        <x:f>O42/P42-1</x:f>
        <x:v>0.05410007320813337</x:v>
      </x:c>
      <x:c r="R42" s="20" t="n">
        <x:v>2.3886668489292853</x:v>
      </x:c>
      <x:c r="S42" s="20" t="n">
        <x:v>2.2387674044908055</x:v>
      </x:c>
      <x:c r="T42" s="21" t="n">
        <x:f>R42/S42-1</x:f>
        <x:v>0.06695623857029198</x:v>
      </x:c>
      <x:c r="U42" s="4" t="str">
        <x:v>已有路径共同窗口，非新增验收；参考质量缺陷保持</x:v>
      </x:c>
    </x:row>
    <x:row r="43" ht="25" customHeight="1">
      <x:c r="A43" s="4" t="str">
        <x:v>28-NH8</x:v>
      </x:c>
      <x:c r="B43" s="4" t="str">
        <x:v>diverse_28</x:v>
      </x:c>
      <x:c r="C43" s="4" t="str">
        <x:v>28-S40</x:v>
      </x:c>
      <x:c r="D43" s="4" t="str">
        <x:v>到12%</x:v>
      </x:c>
      <x:c r="E43" s="10" t="n">
        <x:v>0</x:v>
      </x:c>
      <x:c r="F43" s="10" t="n">
        <x:v>12</x:v>
      </x:c>
      <x:c r="G43" s="4" t="str">
        <x:v>否</x:v>
      </x:c>
      <x:c r="H43" s="4" t="str">
        <x:v>是</x:v>
      </x:c>
      <x:c r="I43" s="20" t="n">
        <x:v>8</x:v>
      </x:c>
      <x:c r="J43" s="20" t="n">
        <x:v>40</x:v>
      </x:c>
      <x:c r="K43" s="20" t="n">
        <x:v>0.10433118757817422</x:v>
      </x:c>
      <x:c r="L43" s="20" t="n">
        <x:v>2.243082284927368</x:v>
      </x:c>
      <x:c r="M43" s="21" t="n">
        <x:f>K43/L43</x:f>
        <x:v>0.046512421001779033</x:v>
      </x:c>
      <x:c r="N43" s="21" t="n">
        <x:f>K43/'加载时长与峰位'!$B$4</x:f>
        <x:v>0.046186431555689786</x:v>
      </x:c>
      <x:c r="O43" s="20" t="n">
        <x:v>1.998157151921713</x:v>
      </x:c>
      <x:c r="P43" s="20" t="n">
        <x:v>1.8890554006452573</x:v>
      </x:c>
      <x:c r="Q43" s="21" t="n">
        <x:f>O43/P43-1</x:f>
        <x:v>0.05775465941294744</x:v>
      </x:c>
      <x:c r="R43" s="20" t="n">
        <x:v>2.379526504145467</x:v>
      </x:c>
      <x:c r="S43" s="20" t="n">
        <x:v>2.219805912481243</x:v>
      </x:c>
      <x:c r="T43" s="21" t="n">
        <x:f>R43/S43-1</x:f>
        <x:v>0.07195250303919232</x:v>
      </x:c>
      <x:c r="U43" s="4" t="str">
        <x:v>已有路径共同窗口，非新增验收；参考质量缺陷保持</x:v>
      </x:c>
    </x:row>
    <x:row r="44" ht="25" customHeight="1">
      <x:c r="A44" s="4" t="str">
        <x:v>28-NH8</x:v>
      </x:c>
      <x:c r="B44" s="4" t="str">
        <x:v>diverse_28</x:v>
      </x:c>
      <x:c r="C44" s="4" t="str">
        <x:v>28-S40</x:v>
      </x:c>
      <x:c r="D44" s="4" t="str">
        <x:v>到15%</x:v>
      </x:c>
      <x:c r="E44" s="10" t="n">
        <x:v>0</x:v>
      </x:c>
      <x:c r="F44" s="10" t="n">
        <x:v>15</x:v>
      </x:c>
      <x:c r="G44" s="4" t="str">
        <x:v>否</x:v>
      </x:c>
      <x:c r="H44" s="4" t="str">
        <x:v>是</x:v>
      </x:c>
      <x:c r="I44" s="20" t="n">
        <x:v>8</x:v>
      </x:c>
      <x:c r="J44" s="20" t="n">
        <x:v>40</x:v>
      </x:c>
      <x:c r="K44" s="20" t="n">
        <x:v>0.11850652824729209</x:v>
      </x:c>
      <x:c r="L44" s="20" t="n">
        <x:v>2.243082284927368</x:v>
      </x:c>
      <x:c r="M44" s="21" t="n">
        <x:f>K44/L44</x:f>
        <x:v>0.05283200221570533</x:v>
      </x:c>
      <x:c r="N44" s="21" t="n">
        <x:f>K44/'加载时长与峰位'!$B$4</x:f>
        <x:v>0.052461721014100605</x:v>
      </x:c>
      <x:c r="O44" s="20" t="n">
        <x:v>2.6952731148480424</x:v>
      </x:c>
      <x:c r="P44" s="20" t="n">
        <x:v>2.537168541582366</x:v>
      </x:c>
      <x:c r="Q44" s="21" t="n">
        <x:f>O44/P44-1</x:f>
        <x:v>0.0623153608735314</x:v>
      </x:c>
      <x:c r="R44" s="20" t="n">
        <x:v>2.255976479347413</x:v>
      </x:c>
      <x:c r="S44" s="20" t="n">
        <x:v>2.0904140550078156</x:v>
      </x:c>
      <x:c r="T44" s="21" t="n">
        <x:f>R44/S44-1</x:f>
        <x:v>0.07920078031573419</x:v>
      </x:c>
      <x:c r="U44" s="4" t="str">
        <x:v>已有路径共同窗口，非新增验收；参考质量缺陷保持</x:v>
      </x:c>
    </x:row>
    <x:row r="45" ht="25" customHeight="1">
      <x:c r="A45" s="4" t="str">
        <x:v>28-NH8</x:v>
      </x:c>
      <x:c r="B45" s="4" t="str">
        <x:v>diverse_28</x:v>
      </x:c>
      <x:c r="C45" s="4" t="str">
        <x:v>28-S40</x:v>
      </x:c>
      <x:c r="D45" s="4" t="str">
        <x:v>到20%</x:v>
      </x:c>
      <x:c r="E45" s="10" t="n">
        <x:v>0</x:v>
      </x:c>
      <x:c r="F45" s="10" t="n">
        <x:v>19.999999997921392</x:v>
      </x:c>
      <x:c r="G45" s="4" t="str">
        <x:v>否</x:v>
      </x:c>
      <x:c r="H45" s="4" t="str">
        <x:v>是</x:v>
      </x:c>
      <x:c r="I45" s="20" t="n">
        <x:v>8</x:v>
      </x:c>
      <x:c r="J45" s="20" t="n">
        <x:v>40</x:v>
      </x:c>
      <x:c r="K45" s="20" t="n">
        <x:v>0.13233290930714456</x:v>
      </x:c>
      <x:c r="L45" s="20" t="n">
        <x:v>2.243082284927368</x:v>
      </x:c>
      <x:c r="M45" s="21" t="n">
        <x:f>K45/L45</x:f>
        <x:v>0.05899601195924453</x:v>
      </x:c>
      <x:c r="N45" s="21" t="n">
        <x:f>K45/'加载时长与峰位'!$B$4</x:f>
        <x:v>0.0585825293486676</x:v>
      </x:c>
      <x:c r="O45" s="20" t="n">
        <x:v>3.758821743187028</x:v>
      </x:c>
      <x:c r="P45" s="20" t="n">
        <x:v>3.517171225708208</x:v>
      </x:c>
      <x:c r="Q45" s="21" t="n">
        <x:f>O45/P45-1</x:f>
        <x:v>0.06870592927421715</x:v>
      </x:c>
      <x:c r="R45" s="20" t="n">
        <x:v>2.0046920429385335</x:v>
      </x:c>
      <x:c r="S45" s="20" t="n">
        <x:v>1.8314450100018913</x:v>
      </x:c>
      <x:c r="T45" s="21" t="n">
        <x:f>R45/S45-1</x:f>
        <x:v>0.09459581477494838</x:v>
      </x:c>
      <x:c r="U45" s="4" t="str">
        <x:v>已有路径共同窗口，非新增验收；参考质量缺陷保持</x:v>
      </x:c>
    </x:row>
    <x:row r="46" ht="25" customHeight="1">
      <x:c r="A46" s="4" t="str">
        <x:v>04-J17</x:v>
      </x:c>
      <x:c r="B46" s="4" t="str">
        <x:v>diverse_04</x:v>
      </x:c>
      <x:c r="C46" s="4" t="str">
        <x:v>04-S4</x:v>
      </x:c>
      <x:c r="D46" s="4" t="str">
        <x:v>到5%</x:v>
      </x:c>
      <x:c r="E46" s="10" t="n">
        <x:v>0</x:v>
      </x:c>
      <x:c r="F46" s="10" t="n">
        <x:v>5</x:v>
      </x:c>
      <x:c r="G46" s="4" t="str">
        <x:v>是</x:v>
      </x:c>
      <x:c r="H46" s="4" t="str">
        <x:v>是</x:v>
      </x:c>
      <x:c r="I46" s="20" t="n">
        <x:v>4</x:v>
      </x:c>
      <x:c r="J46" s="20" t="n">
        <x:v>4</x:v>
      </x:c>
      <x:c r="K46" s="20" t="n">
        <x:v>0.08166355552601716</x:v>
      </x:c>
      <x:c r="L46" s="20" t="n">
        <x:v>5.229988098144531</x:v>
      </x:c>
      <x:c r="M46" s="21" t="n">
        <x:f>K46/L46</x:f>
        <x:v>0.015614482097003116</x:v>
      </x:c>
      <x:c r="N46" s="21" t="n">
        <x:f>K46/'加载时长与峰位'!$B$4</x:f>
        <x:v>0.036151684893556246</x:v>
      </x:c>
      <x:c r="O46" s="20" t="n">
        <x:v>0.6202122207193494</x:v>
      </x:c>
      <x:c r="P46" s="20" t="n">
        <x:v>0.5852696564654019</x:v>
      </x:c>
      <x:c r="Q46" s="21" t="n">
        <x:f>O46/P46-1</x:f>
        <x:v>0.05970335873035859</x:v>
      </x:c>
      <x:c r="R46" s="20" t="n">
        <x:v>2.471316564441201</x:v>
      </x:c>
      <x:c r="S46" s="20" t="n">
        <x:v>2.325966645911184</x:v>
      </x:c>
      <x:c r="T46" s="21" t="n">
        <x:f>R46/S46-1</x:f>
        <x:v>0.0624901129969031</x:v>
      </x:c>
      <x:c r="U46" s="4" t="str">
        <x:v>已有路径共同窗口，非新增验收；参考质量缺陷保持</x:v>
      </x:c>
    </x:row>
    <x:row r="47" ht="25" customHeight="1">
      <x:c r="A47" s="4" t="str">
        <x:v>04-J17</x:v>
      </x:c>
      <x:c r="B47" s="4" t="str">
        <x:v>diverse_04</x:v>
      </x:c>
      <x:c r="C47" s="4" t="str">
        <x:v>04-S4</x:v>
      </x:c>
      <x:c r="D47" s="4" t="str">
        <x:v>到10%</x:v>
      </x:c>
      <x:c r="E47" s="10" t="n">
        <x:v>0</x:v>
      </x:c>
      <x:c r="F47" s="10" t="n">
        <x:v>10</x:v>
      </x:c>
      <x:c r="G47" s="4" t="str">
        <x:v>是</x:v>
      </x:c>
      <x:c r="H47" s="4" t="str">
        <x:v>是</x:v>
      </x:c>
      <x:c r="I47" s="20" t="n">
        <x:v>4</x:v>
      </x:c>
      <x:c r="J47" s="20" t="n">
        <x:v>4</x:v>
      </x:c>
      <x:c r="K47" s="20" t="n">
        <x:v>0.17430087328904303</x:v>
      </x:c>
      <x:c r="L47" s="20" t="n">
        <x:v>5.229988098144531</x:v>
      </x:c>
      <x:c r="M47" s="21" t="n">
        <x:f>K47/L47</x:f>
        <x:v>0.033327202666270046</x:v>
      </x:c>
      <x:c r="N47" s="21" t="n">
        <x:f>K47/'加载时长与峰位'!$B$4</x:f>
        <x:v>0.07716135070569685</x:v>
      </x:c>
      <x:c r="O47" s="20" t="n">
        <x:v>2.4575639286410937</x:v>
      </x:c>
      <x:c r="P47" s="20" t="n">
        <x:v>2.3088872798499507</x:v>
      </x:c>
      <x:c r="Q47" s="21" t="n">
        <x:f>O47/P47-1</x:f>
        <x:v>0.06439320363911616</x:v>
      </x:c>
      <x:c r="R47" s="20" t="n">
        <x:v>4.849377430394925</x:v>
      </x:c>
      <x:c r="S47" s="20" t="n">
        <x:v>4.536357579674203</x:v>
      </x:c>
      <x:c r="T47" s="21" t="n">
        <x:f>R47/S47-1</x:f>
        <x:v>0.06900246403044852</x:v>
      </x:c>
      <x:c r="U47" s="4" t="str">
        <x:v>已有路径共同窗口，非新增验收；参考质量缺陷保持</x:v>
      </x:c>
    </x:row>
    <x:row r="48" ht="25" customHeight="1">
      <x:c r="A48" s="4" t="str">
        <x:v>04-J17</x:v>
      </x:c>
      <x:c r="B48" s="4" t="str">
        <x:v>diverse_04</x:v>
      </x:c>
      <x:c r="C48" s="4" t="str">
        <x:v>04-S4</x:v>
      </x:c>
      <x:c r="D48" s="4" t="str">
        <x:v>到12%</x:v>
      </x:c>
      <x:c r="E48" s="10" t="n">
        <x:v>0</x:v>
      </x:c>
      <x:c r="F48" s="10" t="n">
        <x:v>12</x:v>
      </x:c>
      <x:c r="G48" s="4" t="str">
        <x:v>是</x:v>
      </x:c>
      <x:c r="H48" s="4" t="str">
        <x:v>是</x:v>
      </x:c>
      <x:c r="I48" s="20" t="n">
        <x:v>4</x:v>
      </x:c>
      <x:c r="J48" s="20" t="n">
        <x:v>4</x:v>
      </x:c>
      <x:c r="K48" s="20" t="n">
        <x:v>0.2194766247969458</x:v>
      </x:c>
      <x:c r="L48" s="20" t="n">
        <x:v>5.229988098144531</x:v>
      </x:c>
      <x:c r="M48" s="21" t="n">
        <x:f>K48/L48</x:f>
        <x:v>0.041965033319064454</x:v>
      </x:c>
      <x:c r="N48" s="21" t="n">
        <x:f>K48/'加载时长与峰位'!$B$4</x:f>
        <x:v>0.0971602293097883</x:v>
      </x:c>
      <x:c r="O48" s="20" t="n">
        <x:v>3.516520459907338</x:v>
      </x:c>
      <x:c r="P48" s="20" t="n">
        <x:v>3.294691255783222</x:v>
      </x:c>
      <x:c r="Q48" s="21" t="n">
        <x:f>O48/P48-1</x:f>
        <x:v>0.06732928426441642</x:v>
      </x:c>
      <x:c r="R48" s="20" t="n">
        <x:v>5.729774551687645</x:v>
      </x:c>
      <x:c r="S48" s="20" t="n">
        <x:v>5.055781124276235</x:v>
      </x:c>
      <x:c r="T48" s="21" t="n">
        <x:f>R48/S48-1</x:f>
        <x:v>0.13331143315819394</x:v>
      </x:c>
      <x:c r="U48" s="4" t="str">
        <x:v>已有路径共同窗口，非新增验收；参考质量缺陷保持</x:v>
      </x:c>
    </x:row>
    <x:row r="49" ht="25" customHeight="1">
      <x:c r="A49" s="4" t="str">
        <x:v>04-J17</x:v>
      </x:c>
      <x:c r="B49" s="4" t="str">
        <x:v>diverse_04</x:v>
      </x:c>
      <x:c r="C49" s="4" t="str">
        <x:v>04-S4</x:v>
      </x:c>
      <x:c r="D49" s="4" t="str">
        <x:v>到15%</x:v>
      </x:c>
      <x:c r="E49" s="10" t="n">
        <x:v>0</x:v>
      </x:c>
      <x:c r="F49" s="10" t="n">
        <x:v>15</x:v>
      </x:c>
      <x:c r="G49" s="4" t="str">
        <x:v>是</x:v>
      </x:c>
      <x:c r="H49" s="4" t="str">
        <x:v>是</x:v>
      </x:c>
      <x:c r="I49" s="20" t="n">
        <x:v>4</x:v>
      </x:c>
      <x:c r="J49" s="20" t="n">
        <x:v>4</x:v>
      </x:c>
      <x:c r="K49" s="20" t="n">
        <x:v>1.8896466419339386</x:v>
      </x:c>
      <x:c r="L49" s="20" t="n">
        <x:v>5.229988098144531</x:v>
      </x:c>
      <x:c r="M49" s="21" t="n">
        <x:f>K49/L49</x:f>
        <x:v>0.3613099315855686</x:v>
      </x:c>
      <x:c r="N49" s="21" t="n">
        <x:f>K49/'加载时长与峰位'!$B$4</x:f>
        <x:v>0.8365287247087638</x:v>
      </x:c>
      <x:c r="O49" s="20" t="n">
        <x:v>5.414614656380813</x:v>
      </x:c>
      <x:c r="P49" s="20" t="n">
        <x:v>3.98747209235357</x:v>
      </x:c>
      <x:c r="Q49" s="21" t="n">
        <x:f>O49/P49-1</x:f>
        <x:v>0.3579065962026293</x:v>
      </x:c>
      <x:c r="R49" s="20" t="n">
        <x:v>6.871197158310682</x:v>
      </x:c>
      <x:c r="S49" s="20" t="n">
        <x:v>1.6683822019690941</x:v>
      </x:c>
      <x:c r="T49" s="21" t="n">
        <x:f>R49/S49-1</x:f>
        <x:v>3.1184790572573897</x:v>
      </x:c>
      <x:c r="U49" s="4" t="str">
        <x:v>已有路径共同窗口，非新增验收；参考质量缺陷保持</x:v>
      </x:c>
    </x:row>
    <x:row r="50" ht="25" customHeight="1">
      <x:c r="A50" s="4" t="str">
        <x:v>04-J17</x:v>
      </x:c>
      <x:c r="B50" s="4" t="str">
        <x:v>diverse_04</x:v>
      </x:c>
      <x:c r="C50" s="4" t="str">
        <x:v>04-S4</x:v>
      </x:c>
      <x:c r="D50" s="4" t="str">
        <x:v>全部已覆盖</x:v>
      </x:c>
      <x:c r="E50" s="10" t="n">
        <x:v>0</x:v>
      </x:c>
      <x:c r="F50" s="10" t="n">
        <x:v>15.966239917005407</x:v>
      </x:c>
      <x:c r="G50" s="4" t="str">
        <x:v>是</x:v>
      </x:c>
      <x:c r="H50" s="4" t="str">
        <x:v>是</x:v>
      </x:c>
      <x:c r="I50" s="20" t="n">
        <x:v>4</x:v>
      </x:c>
      <x:c r="J50" s="20" t="n">
        <x:v>4</x:v>
      </x:c>
      <x:c r="K50" s="20" t="n">
        <x:v>2.286150076589955</x:v>
      </x:c>
      <x:c r="L50" s="20" t="n">
        <x:v>5.229988098144531</x:v>
      </x:c>
      <x:c r="M50" s="21" t="n">
        <x:f>K50/L50</x:f>
        <x:v>0.4371233803382887</x:v>
      </x:c>
      <x:c r="N50" s="21" t="n">
        <x:f>K50/'加载时长与峰位'!$B$4</x:f>
        <x:v>1.012057051103153</x:v>
      </x:c>
      <x:c r="O50" s="20" t="n">
        <x:v>6.0905265566148685</x:v>
      </x:c>
      <x:c r="P50" s="20" t="n">
        <x:v>4.127112374591212</x:v>
      </x:c>
      <x:c r="Q50" s="21" t="n">
        <x:f>O50/P50-1</x:f>
        <x:v>0.47573557582573267</x:v>
      </x:c>
      <x:c r="R50" s="20" t="n">
        <x:v>7.070239787769439</x:v>
      </x:c>
      <x:c r="S50" s="20" t="n">
        <x:v>1.343873859580698</x:v>
      </x:c>
      <x:c r="T50" s="21" t="n">
        <x:f>R50/S50-1</x:f>
        <x:v>4.26108885693738</x:v>
      </x:c>
      <x:c r="U50" s="4" t="str">
        <x:v>已有路径共同窗口，非新增验收；参考质量缺陷保持</x:v>
      </x:c>
    </x:row>
    <x:row r="51" ht="25" customHeight="1">
      <x:c r="A51" s="4" t="str">
        <x:v>04-J64</x:v>
      </x:c>
      <x:c r="B51" s="4" t="str">
        <x:v>diverse_04</x:v>
      </x:c>
      <x:c r="C51" s="4" t="str">
        <x:v>04-S2</x:v>
      </x:c>
      <x:c r="D51" s="4" t="str">
        <x:v>到5%</x:v>
      </x:c>
      <x:c r="E51" s="10" t="n">
        <x:v>0</x:v>
      </x:c>
      <x:c r="F51" s="10" t="n">
        <x:v>5</x:v>
      </x:c>
      <x:c r="G51" s="4" t="str">
        <x:v>是</x:v>
      </x:c>
      <x:c r="H51" s="4" t="str">
        <x:v>是</x:v>
      </x:c>
      <x:c r="I51" s="20" t="n">
        <x:v>2</x:v>
      </x:c>
      <x:c r="J51" s="20" t="n">
        <x:v>2</x:v>
      </x:c>
      <x:c r="K51" s="20" t="n">
        <x:v>0.0985927216290805</x:v>
      </x:c>
      <x:c r="L51" s="20" t="n">
        <x:v>5.340913772583008</x:v>
      </x:c>
      <x:c r="M51" s="21" t="n">
        <x:f>K51/L51</x:f>
        <x:v>0.018459897655565115</x:v>
      </x:c>
      <x:c r="N51" s="21" t="n">
        <x:f>K51/'加载时长与峰位'!$B$4</x:f>
        <x:v>0.043646066867576924</x:v>
      </x:c>
      <x:c r="O51" s="20" t="n">
        <x:v>0.6392374562550325</x:v>
      </x:c>
      <x:c r="P51" s="20" t="n">
        <x:v>0.5973719188996979</x:v>
      </x:c>
      <x:c r="Q51" s="21" t="n">
        <x:f>O51/P51-1</x:f>
        <x:v>0.07008286802708596</x:v>
      </x:c>
      <x:c r="R51" s="20" t="n">
        <x:v>2.5215996528172133</x:v>
      </x:c>
      <x:c r="S51" s="20" t="n">
        <x:v>2.34500904293091</x:v>
      </x:c>
      <x:c r="T51" s="21" t="n">
        <x:f>R51/S51-1</x:f>
        <x:v>0.0753048737354085</x:v>
      </x:c>
      <x:c r="U51" s="4" t="str">
        <x:v>已有路径共同窗口，非新增验收；参考质量缺陷保持</x:v>
      </x:c>
    </x:row>
    <x:row r="52" ht="25" customHeight="1">
      <x:c r="A52" s="4" t="str">
        <x:v>04-J64</x:v>
      </x:c>
      <x:c r="B52" s="4" t="str">
        <x:v>diverse_04</x:v>
      </x:c>
      <x:c r="C52" s="4" t="str">
        <x:v>04-S2</x:v>
      </x:c>
      <x:c r="D52" s="4" t="str">
        <x:v>到10%</x:v>
      </x:c>
      <x:c r="E52" s="10" t="n">
        <x:v>0</x:v>
      </x:c>
      <x:c r="F52" s="10" t="n">
        <x:v>10</x:v>
      </x:c>
      <x:c r="G52" s="4" t="str">
        <x:v>是</x:v>
      </x:c>
      <x:c r="H52" s="4" t="str">
        <x:v>是</x:v>
      </x:c>
      <x:c r="I52" s="20" t="n">
        <x:v>2</x:v>
      </x:c>
      <x:c r="J52" s="20" t="n">
        <x:v>2</x:v>
      </x:c>
      <x:c r="K52" s="20" t="n">
        <x:v>0.21188629919180532</x:v>
      </x:c>
      <x:c r="L52" s="20" t="n">
        <x:v>5.340913772583008</x:v>
      </x:c>
      <x:c r="M52" s="21" t="n">
        <x:f>K52/L52</x:f>
        <x:v>0.039672293583824604</x:v>
      </x:c>
      <x:c r="N52" s="21" t="n">
        <x:f>K52/'加载时长与峰位'!$B$4</x:f>
        <x:v>0.09380006383880159</x:v>
      </x:c>
      <x:c r="O52" s="20" t="n">
        <x:v>2.5066133937551163</x:v>
      </x:c>
      <x:c r="P52" s="20" t="n">
        <x:v>2.326355326193684</x:v>
      </x:c>
      <x:c r="Q52" s="21" t="n">
        <x:f>O52/P52-1</x:f>
        <x:v>0.07748518273705218</x:v>
      </x:c>
      <x:c r="R52" s="20" t="n">
        <x:v>4.917504202687777</x:v>
      </x:c>
      <x:c r="S52" s="20" t="n">
        <x:v>4.539065201274552</x:v>
      </x:c>
      <x:c r="T52" s="21" t="n">
        <x:f>R52/S52-1</x:f>
        <x:v>0.08337377513479227</x:v>
      </x:c>
      <x:c r="U52" s="4" t="str">
        <x:v>已有路径共同窗口，非新增验收；参考质量缺陷保持</x:v>
      </x:c>
    </x:row>
    <x:row r="53" ht="25" customHeight="1">
      <x:c r="A53" s="4" t="str">
        <x:v>04-J64</x:v>
      </x:c>
      <x:c r="B53" s="4" t="str">
        <x:v>diverse_04</x:v>
      </x:c>
      <x:c r="C53" s="4" t="str">
        <x:v>04-S2</x:v>
      </x:c>
      <x:c r="D53" s="4" t="str">
        <x:v>到12%</x:v>
      </x:c>
      <x:c r="E53" s="10" t="n">
        <x:v>0</x:v>
      </x:c>
      <x:c r="F53" s="10" t="n">
        <x:v>12</x:v>
      </x:c>
      <x:c r="G53" s="4" t="str">
        <x:v>是</x:v>
      </x:c>
      <x:c r="H53" s="4" t="str">
        <x:v>是</x:v>
      </x:c>
      <x:c r="I53" s="20" t="n">
        <x:v>2</x:v>
      </x:c>
      <x:c r="J53" s="20" t="n">
        <x:v>2</x:v>
      </x:c>
      <x:c r="K53" s="20" t="n">
        <x:v>0.26049520081490757</x:v>
      </x:c>
      <x:c r="L53" s="20" t="n">
        <x:v>5.340913772583008</x:v>
      </x:c>
      <x:c r="M53" s="21" t="n">
        <x:f>K53/L53</x:f>
        <x:v>0.04877352676093199</x:v>
      </x:c>
      <x:c r="N53" s="21" t="n">
        <x:f>K53/'加载时长与峰位'!$B$4</x:f>
        <x:v>0.11531876558012377</x:v>
      </x:c>
      <x:c r="O53" s="20" t="n">
        <x:v>3.579283359200183</x:v>
      </x:c>
      <x:c r="P53" s="20" t="n">
        <x:v>3.313790245041517</x:v>
      </x:c>
      <x:c r="Q53" s="21" t="n">
        <x:f>O53/P53-1</x:f>
        <x:v>0.08011765818790995</x:v>
      </x:c>
      <x:c r="R53" s="20" t="n">
        <x:v>5.7989084025455595</x:v>
      </x:c>
      <x:c r="S53" s="20" t="n">
        <x:v>5.306275833465805</x:v>
      </x:c>
      <x:c r="T53" s="21" t="n">
        <x:f>R53/S53-1</x:f>
        <x:v>0.09283960814339931</x:v>
      </x:c>
      <x:c r="U53" s="4" t="str">
        <x:v>已有路径共同窗口，非新增验收；参考质量缺陷保持</x:v>
      </x:c>
    </x:row>
    <x:row r="54" ht="25" customHeight="1">
      <x:c r="A54" s="4" t="str">
        <x:v>04-J64</x:v>
      </x:c>
      <x:c r="B54" s="4" t="str">
        <x:v>diverse_04</x:v>
      </x:c>
      <x:c r="C54" s="4" t="str">
        <x:v>04-S2</x:v>
      </x:c>
      <x:c r="D54" s="4" t="str">
        <x:v>全部已覆盖</x:v>
      </x:c>
      <x:c r="E54" s="10" t="n">
        <x:v>0</x:v>
      </x:c>
      <x:c r="F54" s="10" t="n">
        <x:v>14.73204908506258</x:v>
      </x:c>
      <x:c r="G54" s="4" t="str">
        <x:v>是</x:v>
      </x:c>
      <x:c r="H54" s="4" t="str">
        <x:v>是</x:v>
      </x:c>
      <x:c r="I54" s="20" t="n">
        <x:v>2</x:v>
      </x:c>
      <x:c r="J54" s="20" t="n">
        <x:v>2</x:v>
      </x:c>
      <x:c r="K54" s="20" t="n">
        <x:v>1.6361801658267232</x:v>
      </x:c>
      <x:c r="L54" s="20" t="n">
        <x:v>5.340913772583008</x:v>
      </x:c>
      <x:c r="M54" s="21" t="n">
        <x:f>K54/L54</x:f>
        <x:v>0.30634835825769624</x:v>
      </x:c>
      <x:c r="N54" s="21" t="n">
        <x:f>K54/'加载时长与峰位'!$B$4</x:f>
        <x:v>0.724321509185447</x:v>
      </x:c>
      <x:c r="O54" s="20" t="n">
        <x:v>5.232741027253068</x:v>
      </x:c>
      <x:c r="P54" s="20" t="n">
        <x:v>4.069506776815209</x:v>
      </x:c>
      <x:c r="Q54" s="21" t="n">
        <x:f>O54/P54-1</x:f>
        <x:v>0.28584158086799016</x:v>
      </x:c>
      <x:c r="R54" s="20" t="n">
        <x:v>5.00671699957642</x:v>
      </x:c>
      <x:c r="S54" s="20" t="n">
        <x:v>1.68787564581552</x:v>
      </x:c>
      <x:c r="T54" s="21" t="n">
        <x:f>R54/S54-1</x:f>
        <x:v>1.9662830979218002</x:v>
      </x:c>
      <x:c r="U54" s="4" t="str">
        <x:v>已有路径共同窗口，非新增验收；参考质量缺陷保持</x:v>
      </x:c>
    </x:row>
    <x:row r="55" ht="25" customHeight="1">
      <x:c r="A55" s="4" t="str">
        <x:v>28-OV</x:v>
      </x:c>
      <x:c r="B55" s="4" t="str">
        <x:v>diverse_28</x:v>
      </x:c>
      <x:c r="C55" s="4" t="str">
        <x:v>28-S40</x:v>
      </x:c>
      <x:c r="D55" s="4" t="str">
        <x:v>到5%</x:v>
      </x:c>
      <x:c r="E55" s="10" t="n">
        <x:v>0</x:v>
      </x:c>
      <x:c r="F55" s="10" t="n">
        <x:v>5</x:v>
      </x:c>
      <x:c r="G55" s="4" t="str">
        <x:v>否</x:v>
      </x:c>
      <x:c r="H55" s="4" t="str">
        <x:v>是</x:v>
      </x:c>
      <x:c r="I55" s="20" t="n">
        <x:v>4</x:v>
      </x:c>
      <x:c r="J55" s="20" t="n">
        <x:v>40</x:v>
      </x:c>
      <x:c r="K55" s="20" t="n">
        <x:v>0.053872073737473825</x:v>
      </x:c>
      <x:c r="L55" s="20" t="n">
        <x:v>2.243082284927368</x:v>
      </x:c>
      <x:c r="M55" s="21" t="n">
        <x:f>K55/L55</x:f>
        <x:v>0.02401698506535984</x:v>
      </x:c>
      <x:c r="N55" s="21" t="n">
        <x:f>K55/'加载时长与峰位'!$B$4</x:f>
        <x:v>0.023848658336938396</x:v>
      </x:c>
      <x:c r="O55" s="20" t="n">
        <x:v>0.4543425470393271</x:v>
      </x:c>
      <x:c r="P55" s="20" t="n">
        <x:v>0.42995234164874585</x:v>
      </x:c>
      <x:c r="Q55" s="21" t="n">
        <x:f>O55/P55-1</x:f>
        <x:v>0.05672769520698884</x:v>
      </x:c>
      <x:c r="R55" s="20" t="n">
        <x:v>1.7013500443386764</x:v>
      </x:c>
      <x:c r="S55" s="20" t="n">
        <x:v>1.6103992253526205</x:v>
      </x:c>
      <x:c r="T55" s="21" t="n">
        <x:f>R55/S55-1</x:f>
        <x:v>0.05647718749128239</x:v>
      </x:c>
      <x:c r="U55" s="4" t="str">
        <x:v>已有路径共同窗口，非新增验收；参考质量缺陷保持</x:v>
      </x:c>
    </x:row>
    <x:row r="56" ht="25" customHeight="1">
      <x:c r="A56" s="4" t="str">
        <x:v>28-OV</x:v>
      </x:c>
      <x:c r="B56" s="4" t="str">
        <x:v>diverse_28</x:v>
      </x:c>
      <x:c r="C56" s="4" t="str">
        <x:v>28-S40</x:v>
      </x:c>
      <x:c r="D56" s="4" t="str">
        <x:v>到10%</x:v>
      </x:c>
      <x:c r="E56" s="10" t="n">
        <x:v>0</x:v>
      </x:c>
      <x:c r="F56" s="10" t="n">
        <x:v>10</x:v>
      </x:c>
      <x:c r="G56" s="4" t="str">
        <x:v>否</x:v>
      </x:c>
      <x:c r="H56" s="4" t="str">
        <x:v>是</x:v>
      </x:c>
      <x:c r="I56" s="20" t="n">
        <x:v>4</x:v>
      </x:c>
      <x:c r="J56" s="20" t="n">
        <x:v>40</x:v>
      </x:c>
      <x:c r="K56" s="20" t="n">
        <x:v>0.09848493936697714</x:v>
      </x:c>
      <x:c r="L56" s="20" t="n">
        <x:v>2.243082284927368</x:v>
      </x:c>
      <x:c r="M56" s="21" t="n">
        <x:f>K56/L56</x:f>
        <x:v>0.04390607514880628</x:v>
      </x:c>
      <x:c r="N56" s="21" t="n">
        <x:f>K56/'加载时长与峰位'!$B$4</x:f>
        <x:v>0.04359835267791695</x:v>
      </x:c>
      <x:c r="O56" s="20" t="n">
        <x:v>1.529834086264525</x:v>
      </x:c>
      <x:c r="P56" s="20" t="n">
        <x:v>1.441693498877864</x:v>
      </x:c>
      <x:c r="Q56" s="21" t="n">
        <x:f>O56/P56-1</x:f>
        <x:v>0.061136841815035536</x:v>
      </x:c>
      <x:c r="R56" s="20" t="n">
        <x:v>2.377093064371704</x:v>
      </x:c>
      <x:c r="S56" s="20" t="n">
        <x:v>2.2387674044908055</x:v>
      </x:c>
      <x:c r="T56" s="21" t="n">
        <x:f>R56/S56-1</x:f>
        <x:v>0.061786525747796306</x:v>
      </x:c>
      <x:c r="U56" s="4" t="str">
        <x:v>已有路径共同窗口，非新增验收；参考质量缺陷保持</x:v>
      </x:c>
    </x:row>
    <x:row r="57" ht="25" customHeight="1">
      <x:c r="A57" s="4" t="str">
        <x:v>28-OV</x:v>
      </x:c>
      <x:c r="B57" s="4" t="str">
        <x:v>diverse_28</x:v>
      </x:c>
      <x:c r="C57" s="4" t="str">
        <x:v>28-S40</x:v>
      </x:c>
      <x:c r="D57" s="4" t="str">
        <x:v>到12%</x:v>
      </x:c>
      <x:c r="E57" s="10" t="n">
        <x:v>0</x:v>
      </x:c>
      <x:c r="F57" s="10" t="n">
        <x:v>12</x:v>
      </x:c>
      <x:c r="G57" s="4" t="str">
        <x:v>否</x:v>
      </x:c>
      <x:c r="H57" s="4" t="str">
        <x:v>是</x:v>
      </x:c>
      <x:c r="I57" s="20" t="n">
        <x:v>4</x:v>
      </x:c>
      <x:c r="J57" s="20" t="n">
        <x:v>40</x:v>
      </x:c>
      <x:c r="K57" s="20" t="n">
        <x:v>0.10514909943560417</x:v>
      </x:c>
      <x:c r="L57" s="20" t="n">
        <x:v>2.243082284927368</x:v>
      </x:c>
      <x:c r="M57" s="21" t="n">
        <x:f>K57/L57</x:f>
        <x:v>0.046877058475368834</x:v>
      </x:c>
      <x:c r="N57" s="21" t="n">
        <x:f>K57/'加载时长与峰位'!$B$4</x:f>
        <x:v>0.046548513411543965</x:v>
      </x:c>
      <x:c r="O57" s="20" t="n">
        <x:v>2.003912615057079</x:v>
      </x:c>
      <x:c r="P57" s="20" t="n">
        <x:v>1.8890554006452573</x:v>
      </x:c>
      <x:c r="Q57" s="21" t="n">
        <x:f>O57/P57-1</x:f>
        <x:v>0.06080140072789253</x:v>
      </x:c>
      <x:c r="R57" s="20" t="n">
        <x:v>2.3513818413749186</x:v>
      </x:c>
      <x:c r="S57" s="20" t="n">
        <x:v>2.219805912481243</x:v>
      </x:c>
      <x:c r="T57" s="21" t="n">
        <x:f>R57/S57-1</x:f>
        <x:v>0.059273618541993756</x:v>
      </x:c>
      <x:c r="U57" s="4" t="str">
        <x:v>已有路径共同窗口，非新增验收；参考质量缺陷保持</x:v>
      </x:c>
    </x:row>
    <x:row r="58" ht="25" customHeight="1">
      <x:c r="A58" s="4" t="str">
        <x:v>28-OV</x:v>
      </x:c>
      <x:c r="B58" s="4" t="str">
        <x:v>diverse_28</x:v>
      </x:c>
      <x:c r="C58" s="4" t="str">
        <x:v>28-S40</x:v>
      </x:c>
      <x:c r="D58" s="4" t="str">
        <x:v>到15%</x:v>
      </x:c>
      <x:c r="E58" s="10" t="n">
        <x:v>0</x:v>
      </x:c>
      <x:c r="F58" s="10" t="n">
        <x:v>15</x:v>
      </x:c>
      <x:c r="G58" s="4" t="str">
        <x:v>否</x:v>
      </x:c>
      <x:c r="H58" s="4" t="str">
        <x:v>是</x:v>
      </x:c>
      <x:c r="I58" s="20" t="n">
        <x:v>4</x:v>
      </x:c>
      <x:c r="J58" s="20" t="n">
        <x:v>40</x:v>
      </x:c>
      <x:c r="K58" s="20" t="n">
        <x:v>0.10998973708831482</x:v>
      </x:c>
      <x:c r="L58" s="20" t="n">
        <x:v>2.243082284927368</x:v>
      </x:c>
      <x:c r="M58" s="21" t="n">
        <x:f>K58/L58</x:f>
        <x:v>0.04903508793565115</x:v>
      </x:c>
      <x:c r="N58" s="21" t="n">
        <x:f>K58/'加载时长与峰位'!$B$4</x:f>
        <x:v>0.04869141799091813</x:v>
      </x:c>
      <x:c r="O58" s="20" t="n">
        <x:v>2.6902737623506052</x:v>
      </x:c>
      <x:c r="P58" s="20" t="n">
        <x:v>2.537168541582366</x:v>
      </x:c>
      <x:c r="Q58" s="21" t="n">
        <x:f>O58/P58-1</x:f>
        <x:v>0.060344915309706426</x:v>
      </x:c>
      <x:c r="R58" s="20" t="n">
        <x:v>2.210644409654448</x:v>
      </x:c>
      <x:c r="S58" s="20" t="n">
        <x:v>2.0904140550078156</x:v>
      </x:c>
      <x:c r="T58" s="21" t="n">
        <x:f>R58/S58-1</x:f>
        <x:v>0.05751509102161245</x:v>
      </x:c>
      <x:c r="U58" s="4" t="str">
        <x:v>已有路径共同窗口，非新增验收；参考质量缺陷保持</x:v>
      </x:c>
    </x:row>
    <x:row r="59" ht="25" customHeight="1">
      <x:c r="A59" s="4" t="str">
        <x:v>28-OV</x:v>
      </x:c>
      <x:c r="B59" s="4" t="str">
        <x:v>diverse_28</x:v>
      </x:c>
      <x:c r="C59" s="4" t="str">
        <x:v>28-S40</x:v>
      </x:c>
      <x:c r="D59" s="4" t="str">
        <x:v>到20%</x:v>
      </x:c>
      <x:c r="E59" s="10" t="n">
        <x:v>0</x:v>
      </x:c>
      <x:c r="F59" s="10" t="n">
        <x:v>19.999999996704318</x:v>
      </x:c>
      <x:c r="G59" s="4" t="str">
        <x:v>否</x:v>
      </x:c>
      <x:c r="H59" s="4" t="str">
        <x:v>是</x:v>
      </x:c>
      <x:c r="I59" s="20" t="n">
        <x:v>4</x:v>
      </x:c>
      <x:c r="J59" s="20" t="n">
        <x:v>40</x:v>
      </x:c>
      <x:c r="K59" s="20" t="n">
        <x:v>0.11104607233541422</x:v>
      </x:c>
      <x:c r="L59" s="20" t="n">
        <x:v>2.243082284927368</x:v>
      </x:c>
      <x:c r="M59" s="21" t="n">
        <x:f>K59/L59</x:f>
        <x:v>0.0495060181615272</x:v>
      </x:c>
      <x:c r="N59" s="21" t="n">
        <x:f>K59/'加载时长与峰位'!$B$4</x:f>
        <x:v>0.04915904762997944</x:v>
      </x:c>
      <x:c r="O59" s="20" t="n">
        <x:v>3.7273143462393996</x:v>
      </x:c>
      <x:c r="P59" s="20" t="n">
        <x:v>3.5171712254853076</x:v>
      </x:c>
      <x:c r="Q59" s="21" t="n">
        <x:f>O59/P59-1</x:f>
        <x:v>0.05974776525845593</x:v>
      </x:c>
      <x:c r="R59" s="20" t="n">
        <x:v>1.9564147704860257</x:v>
      </x:c>
      <x:c r="S59" s="20" t="n">
        <x:v>1.8314450074887274</x:v>
      </x:c>
      <x:c r="T59" s="21" t="n">
        <x:f>R59/S59-1</x:f>
        <x:v>0.06823560766842607</x:v>
      </x:c>
      <x:c r="U59" s="4" t="str">
        <x:v>已有路径共同窗口，非新增验收；参考质量缺陷保持</x:v>
      </x:c>
    </x:row>
    <x:row r="60" ht="25" customHeight="1">
      <x:c r="A60" s="4" t="str">
        <x:v>04-J18</x:v>
      </x:c>
      <x:c r="B60" s="4" t="str">
        <x:v>diverse_04</x:v>
      </x:c>
      <x:c r="C60" s="4" t="str">
        <x:v>04-S4</x:v>
      </x:c>
      <x:c r="D60" s="4" t="str">
        <x:v>到5%</x:v>
      </x:c>
      <x:c r="E60" s="10" t="n">
        <x:v>0</x:v>
      </x:c>
      <x:c r="F60" s="10" t="n">
        <x:v>5</x:v>
      </x:c>
      <x:c r="G60" s="4" t="str">
        <x:v>是</x:v>
      </x:c>
      <x:c r="H60" s="4" t="str">
        <x:v>是</x:v>
      </x:c>
      <x:c r="I60" s="20" t="n">
        <x:v>4</x:v>
      </x:c>
      <x:c r="J60" s="20" t="n">
        <x:v>4</x:v>
      </x:c>
      <x:c r="K60" s="20" t="n">
        <x:v>0.08166564057959134</x:v>
      </x:c>
      <x:c r="L60" s="20" t="n">
        <x:v>5.229988098144531</x:v>
      </x:c>
      <x:c r="M60" s="21" t="n">
        <x:f>K60/L60</x:f>
        <x:v>0.01561488076972188</x:v>
      </x:c>
      <x:c r="N60" s="21" t="n">
        <x:f>K60/'加载时长与峰位'!$B$4</x:f>
        <x:v>0.03615260792708466</x:v>
      </x:c>
      <x:c r="O60" s="20" t="n">
        <x:v>0.6202132200870137</x:v>
      </x:c>
      <x:c r="P60" s="20" t="n">
        <x:v>0.5852696564654019</x:v>
      </x:c>
      <x:c r="Q60" s="21" t="n">
        <x:f>O60/P60-1</x:f>
        <x:v>0.059705066264062356</x:v>
      </x:c>
      <x:c r="R60" s="20" t="n">
        <x:v>2.4713164461401433</x:v>
      </x:c>
      <x:c r="S60" s="20" t="n">
        <x:v>2.325966645911184</x:v>
      </x:c>
      <x:c r="T60" s="21" t="n">
        <x:f>R60/S60-1</x:f>
        <x:v>0.062490062135873714</x:v>
      </x:c>
      <x:c r="U60" s="4" t="str">
        <x:v>已有路径共同窗口，非新增验收；参考质量缺陷保持</x:v>
      </x:c>
    </x:row>
    <x:row r="61" ht="25" customHeight="1">
      <x:c r="A61" s="4" t="str">
        <x:v>04-J18</x:v>
      </x:c>
      <x:c r="B61" s="4" t="str">
        <x:v>diverse_04</x:v>
      </x:c>
      <x:c r="C61" s="4" t="str">
        <x:v>04-S4</x:v>
      </x:c>
      <x:c r="D61" s="4" t="str">
        <x:v>到10%</x:v>
      </x:c>
      <x:c r="E61" s="10" t="n">
        <x:v>0</x:v>
      </x:c>
      <x:c r="F61" s="10" t="n">
        <x:v>10</x:v>
      </x:c>
      <x:c r="G61" s="4" t="str">
        <x:v>是</x:v>
      </x:c>
      <x:c r="H61" s="4" t="str">
        <x:v>是</x:v>
      </x:c>
      <x:c r="I61" s="20" t="n">
        <x:v>4</x:v>
      </x:c>
      <x:c r="J61" s="20" t="n">
        <x:v>4</x:v>
      </x:c>
      <x:c r="K61" s="20" t="n">
        <x:v>0.17431965618615214</x:v>
      </x:c>
      <x:c r="L61" s="20" t="n">
        <x:v>5.229988098144531</x:v>
      </x:c>
      <x:c r="M61" s="21" t="n">
        <x:f>K61/L61</x:f>
        <x:v>0.03333079405056321</x:v>
      </x:c>
      <x:c r="N61" s="21" t="n">
        <x:f>K61/'加载时长与峰位'!$B$4</x:f>
        <x:v>0.07716966571688272</x:v>
      </x:c>
      <x:c r="O61" s="20" t="n">
        <x:v>2.4575779570304817</x:v>
      </x:c>
      <x:c r="P61" s="20" t="n">
        <x:v>2.3088872798499507</x:v>
      </x:c>
      <x:c r="Q61" s="21" t="n">
        <x:f>O61/P61-1</x:f>
        <x:v>0.0643992794616608</x:v>
      </x:c>
      <x:c r="R61" s="20" t="n">
        <x:v>4.849331417702432</x:v>
      </x:c>
      <x:c r="S61" s="20" t="n">
        <x:v>4.536357579674203</x:v>
      </x:c>
      <x:c r="T61" s="21" t="n">
        <x:f>R61/S61-1</x:f>
        <x:v>0.06899232093840069</x:v>
      </x:c>
      <x:c r="U61" s="4" t="str">
        <x:v>已有路径共同窗口，非新增验收；参考质量缺陷保持</x:v>
      </x:c>
    </x:row>
    <x:row r="62" ht="25" customHeight="1">
      <x:c r="A62" s="4" t="str">
        <x:v>04-J18</x:v>
      </x:c>
      <x:c r="B62" s="4" t="str">
        <x:v>diverse_04</x:v>
      </x:c>
      <x:c r="C62" s="4" t="str">
        <x:v>04-S4</x:v>
      </x:c>
      <x:c r="D62" s="4" t="str">
        <x:v>到12%</x:v>
      </x:c>
      <x:c r="E62" s="10" t="n">
        <x:v>0</x:v>
      </x:c>
      <x:c r="F62" s="10" t="n">
        <x:v>12</x:v>
      </x:c>
      <x:c r="G62" s="4" t="str">
        <x:v>是</x:v>
      </x:c>
      <x:c r="H62" s="4" t="str">
        <x:v>是</x:v>
      </x:c>
      <x:c r="I62" s="20" t="n">
        <x:v>4</x:v>
      </x:c>
      <x:c r="J62" s="20" t="n">
        <x:v>4</x:v>
      </x:c>
      <x:c r="K62" s="20" t="n">
        <x:v>0.21950625932698278</x:v>
      </x:c>
      <x:c r="L62" s="20" t="n">
        <x:v>5.229988098144531</x:v>
      </x:c>
      <x:c r="M62" s="21" t="n">
        <x:f>K62/L62</x:f>
        <x:v>0.04197069959009239</x:v>
      </x:c>
      <x:c r="N62" s="21" t="n">
        <x:f>K62/'加载时长与峰位'!$B$4</x:f>
        <x:v>0.09717334823640086</x:v>
      </x:c>
      <x:c r="O62" s="20" t="n">
        <x:v>3.516546814229927</x:v>
      </x:c>
      <x:c r="P62" s="20" t="n">
        <x:v>3.294691255783222</x:v>
      </x:c>
      <x:c r="Q62" s="21" t="n">
        <x:f>O62/P62-1</x:f>
        <x:v>0.06733728329089361</x:v>
      </x:c>
      <x:c r="R62" s="20" t="n">
        <x:v>5.729865710807766</x:v>
      </x:c>
      <x:c r="S62" s="20" t="n">
        <x:v>5.055781124276235</x:v>
      </x:c>
      <x:c r="T62" s="21" t="n">
        <x:f>R62/S62-1</x:f>
        <x:v>0.13332946382801136</x:v>
      </x:c>
      <x:c r="U62" s="4" t="str">
        <x:v>已有路径共同窗口，非新增验收；参考质量缺陷保持</x:v>
      </x:c>
    </x:row>
    <x:row r="63" ht="25" customHeight="1">
      <x:c r="A63" s="4" t="str">
        <x:v>04-J18</x:v>
      </x:c>
      <x:c r="B63" s="4" t="str">
        <x:v>diverse_04</x:v>
      </x:c>
      <x:c r="C63" s="4" t="str">
        <x:v>04-S4</x:v>
      </x:c>
      <x:c r="D63" s="4" t="str">
        <x:v>到15%</x:v>
      </x:c>
      <x:c r="E63" s="10" t="n">
        <x:v>0</x:v>
      </x:c>
      <x:c r="F63" s="10" t="n">
        <x:v>15</x:v>
      </x:c>
      <x:c r="G63" s="4" t="str">
        <x:v>是</x:v>
      </x:c>
      <x:c r="H63" s="4" t="str">
        <x:v>是</x:v>
      </x:c>
      <x:c r="I63" s="20" t="n">
        <x:v>4</x:v>
      </x:c>
      <x:c r="J63" s="20" t="n">
        <x:v>4</x:v>
      </x:c>
      <x:c r="K63" s="20" t="n">
        <x:v>1.8897047568081349</x:v>
      </x:c>
      <x:c r="L63" s="20" t="n">
        <x:v>5.229988098144531</x:v>
      </x:c>
      <x:c r="M63" s="21" t="n">
        <x:f>K63/L63</x:f>
        <x:v>0.36132104344148597</x:v>
      </x:c>
      <x:c r="N63" s="21" t="n">
        <x:f>K63/'加载时长与峰位'!$B$4</x:f>
        <x:v>0.8365544516147997</x:v>
      </x:c>
      <x:c r="O63" s="20" t="n">
        <x:v>5.414678074415108</x:v>
      </x:c>
      <x:c r="P63" s="20" t="n">
        <x:v>3.98747209235357</x:v>
      </x:c>
      <x:c r="Q63" s="21" t="n">
        <x:f>O63/P63-1</x:f>
        <x:v>0.3579225005231679</x:v>
      </x:c>
      <x:c r="R63" s="20" t="n">
        <x:v>6.871892264355591</x:v>
      </x:c>
      <x:c r="S63" s="20" t="n">
        <x:v>1.6683822019690941</x:v>
      </x:c>
      <x:c r="T63" s="21" t="n">
        <x:f>R63/S63-1</x:f>
        <x:v>3.118895692033335</x:v>
      </x:c>
      <x:c r="U63" s="4" t="str">
        <x:v>已有路径共同窗口，非新增验收；参考质量缺陷保持</x:v>
      </x:c>
    </x:row>
    <x:row r="64" ht="25" customHeight="1">
      <x:c r="A64" s="4" t="str">
        <x:v>04-J18</x:v>
      </x:c>
      <x:c r="B64" s="4" t="str">
        <x:v>diverse_04</x:v>
      </x:c>
      <x:c r="C64" s="4" t="str">
        <x:v>04-S4</x:v>
      </x:c>
      <x:c r="D64" s="4" t="str">
        <x:v>全部已覆盖</x:v>
      </x:c>
      <x:c r="E64" s="10" t="n">
        <x:v>0</x:v>
      </x:c>
      <x:c r="F64" s="10" t="n">
        <x:v>17.536302435107093</x:v>
      </x:c>
      <x:c r="G64" s="4" t="str">
        <x:v>是</x:v>
      </x:c>
      <x:c r="H64" s="4" t="str">
        <x:v>是</x:v>
      </x:c>
      <x:c r="I64" s="20" t="n">
        <x:v>4</x:v>
      </x:c>
      <x:c r="J64" s="20" t="n">
        <x:v>4</x:v>
      </x:c>
      <x:c r="K64" s="20" t="n">
        <x:v>2.330326509746072</x:v>
      </x:c>
      <x:c r="L64" s="20" t="n">
        <x:v>5.229988098144531</x:v>
      </x:c>
      <x:c r="M64" s="21" t="n">
        <x:f>K64/L64</x:f>
        <x:v>0.4455701363016129</x:v>
      </x:c>
      <x:c r="N64" s="21" t="n">
        <x:f>K64/'加载时长与峰位'!$B$4</x:f>
        <x:v>1.0316135409093359</x:v>
      </x:c>
      <x:c r="O64" s="20" t="n">
        <x:v>6.574825190567576</x:v>
      </x:c>
      <x:c r="P64" s="20" t="n">
        <x:v>4.353013632782101</x:v>
      </x:c>
      <x:c r="Q64" s="21" t="n">
        <x:f>O64/P64-1</x:f>
        <x:v>0.5104076727564644</x:v>
      </x:c>
      <x:c r="R64" s="20" t="n">
        <x:v>1.3936672102323806</x:v>
      </x:c>
      <x:c r="S64" s="20" t="n">
        <x:v>1.3743023769540557</x:v>
      </x:c>
      <x:c r="T64" s="21" t="n">
        <x:f>R64/S64-1</x:f>
        <x:v>0.014090664182102586</x:v>
      </x:c>
      <x:c r="U64" s="4" t="str">
        <x:v>已有路径共同窗口，非新增验收；参考质量缺陷保持</x:v>
      </x:c>
    </x:row>
    <x:row r="65" ht="25" customHeight="1">
      <x:c r="A65" s="4" t="str">
        <x:v>28-t45</x:v>
      </x:c>
      <x:c r="B65" s="4" t="str">
        <x:v>diverse_28</x:v>
      </x:c>
      <x:c r="C65" s="4" t="str">
        <x:v>28-S45</x:v>
      </x:c>
      <x:c r="D65" s="4" t="str">
        <x:v>到5%</x:v>
      </x:c>
      <x:c r="E65" s="10" t="n">
        <x:v>0</x:v>
      </x:c>
      <x:c r="F65" s="10" t="n">
        <x:v>5</x:v>
      </x:c>
      <x:c r="G65" s="4" t="str">
        <x:v>否</x:v>
      </x:c>
      <x:c r="H65" s="4" t="str">
        <x:v>是</x:v>
      </x:c>
      <x:c r="I65" s="20" t="n">
        <x:v>4</x:v>
      </x:c>
      <x:c r="J65" s="20" t="n">
        <x:v>40</x:v>
      </x:c>
      <x:c r="K65" s="20" t="n">
        <x:v>0.042967135420918574</x:v>
      </x:c>
      <x:c r="L65" s="20" t="n">
        <x:v>1.789782166481018</x:v>
      </x:c>
      <x:c r="M65" s="21" t="n">
        <x:f>K65/L65</x:f>
        <x:v>0.024006907782190303</x:v>
      </x:c>
      <x:c r="N65" s="21" t="n">
        <x:f>K65/'加载时长与峰位'!$B$4</x:f>
        <x:v>0.01902114511804389</x:v>
      </x:c>
      <x:c r="O65" s="20" t="n">
        <x:v>0.39083957273594083</x:v>
      </x:c>
      <x:c r="P65" s="20" t="n">
        <x:v>0.3712877894376109</x:v>
      </x:c>
      <x:c r="Q65" s="21" t="n">
        <x:f>O65/P65-1</x:f>
        <x:v>0.052659375973405975</x:v>
      </x:c>
      <x:c r="R65" s="20" t="n">
        <x:v>1.4446334396305058</x:v>
      </x:c>
      <x:c r="S65" s="20" t="n">
        <x:v>1.3723850071383208</x:v>
      </x:c>
      <x:c r="T65" s="21" t="n">
        <x:f>R65/S65-1</x:f>
        <x:v>0.052644434408997576</x:v>
      </x:c>
      <x:c r="U65" s="4" t="str">
        <x:v>已有路径共同窗口，非新增验收；参考质量缺陷保持</x:v>
      </x:c>
    </x:row>
    <x:row r="66" ht="25" customHeight="1">
      <x:c r="A66" s="4" t="str">
        <x:v>28-t45</x:v>
      </x:c>
      <x:c r="B66" s="4" t="str">
        <x:v>diverse_28</x:v>
      </x:c>
      <x:c r="C66" s="4" t="str">
        <x:v>28-S45</x:v>
      </x:c>
      <x:c r="D66" s="4" t="str">
        <x:v>到10%</x:v>
      </x:c>
      <x:c r="E66" s="10" t="n">
        <x:v>0</x:v>
      </x:c>
      <x:c r="F66" s="10" t="n">
        <x:v>10</x:v>
      </x:c>
      <x:c r="G66" s="4" t="str">
        <x:v>否</x:v>
      </x:c>
      <x:c r="H66" s="4" t="str">
        <x:v>是</x:v>
      </x:c>
      <x:c r="I66" s="20" t="n">
        <x:v>4</x:v>
      </x:c>
      <x:c r="J66" s="20" t="n">
        <x:v>40</x:v>
      </x:c>
      <x:c r="K66" s="20" t="n">
        <x:v>0.07437739773303494</x:v>
      </x:c>
      <x:c r="L66" s="20" t="n">
        <x:v>1.789782166481018</x:v>
      </x:c>
      <x:c r="M66" s="21" t="n">
        <x:f>K66/L66</x:f>
        <x:v>0.041556676072637445</x:v>
      </x:c>
      <x:c r="N66" s="21" t="n">
        <x:f>K66/'加载时长与峰位'!$B$4</x:f>
        <x:v>0.03292617164079683</x:v>
      </x:c>
      <x:c r="O66" s="20" t="n">
        <x:v>1.2727658932213293</x:v>
      </x:c>
      <x:c r="P66" s="20" t="n">
        <x:v>1.2053961956953927</x:v>
      </x:c>
      <x:c r="Q66" s="21" t="n">
        <x:f>O66/P66-1</x:f>
        <x:v>0.05589008640189963</x:v>
      </x:c>
      <x:c r="R66" s="20" t="n">
        <x:v>1.8824186438015242</x:v>
      </x:c>
      <x:c r="S66" s="20" t="n">
        <x:v>1.7883393161264396</x:v>
      </x:c>
      <x:c r="T66" s="21" t="n">
        <x:f>R66/S66-1</x:f>
        <x:v>0.05260709017954235</x:v>
      </x:c>
      <x:c r="U66" s="4" t="str">
        <x:v>已有路径共同窗口，非新增验收；参考质量缺陷保持</x:v>
      </x:c>
    </x:row>
    <x:row r="67" ht="25" customHeight="1">
      <x:c r="A67" s="4" t="str">
        <x:v>28-t45</x:v>
      </x:c>
      <x:c r="B67" s="4" t="str">
        <x:v>diverse_28</x:v>
      </x:c>
      <x:c r="C67" s="4" t="str">
        <x:v>28-S45</x:v>
      </x:c>
      <x:c r="D67" s="4" t="str">
        <x:v>到12%</x:v>
      </x:c>
      <x:c r="E67" s="10" t="n">
        <x:v>0</x:v>
      </x:c>
      <x:c r="F67" s="10" t="n">
        <x:v>12</x:v>
      </x:c>
      <x:c r="G67" s="4" t="str">
        <x:v>否</x:v>
      </x:c>
      <x:c r="H67" s="4" t="str">
        <x:v>是</x:v>
      </x:c>
      <x:c r="I67" s="20" t="n">
        <x:v>4</x:v>
      </x:c>
      <x:c r="J67" s="20" t="n">
        <x:v>40</x:v>
      </x:c>
      <x:c r="K67" s="20" t="n">
        <x:v>0.07763342711080196</x:v>
      </x:c>
      <x:c r="L67" s="20" t="n">
        <x:v>1.789782166481018</x:v>
      </x:c>
      <x:c r="M67" s="21" t="n">
        <x:f>K67/L67</x:f>
        <x:v>0.04337590828913051</x:v>
      </x:c>
      <x:c r="N67" s="21" t="n">
        <x:f>K67/'加载时长与峰位'!$B$4</x:f>
        <x:v>0.034367585100093176</x:v>
      </x:c>
      <x:c r="O67" s="20" t="n">
        <x:v>1.644824510841976</x:v>
      </x:c>
      <x:c r="P67" s="20" t="n">
        <x:v>1.5590114688871348</x:v>
      </x:c>
      <x:c r="Q67" s="21" t="n">
        <x:f>O67/P67-1</x:f>
        <x:v>0.055043239685784284</x:v>
      </x:c>
      <x:c r="R67" s="20" t="n">
        <x:v>1.8306648868653</x:v>
      </x:c>
      <x:c r="S67" s="20" t="n">
        <x:v>1.7382978158710556</x:v>
      </x:c>
      <x:c r="T67" s="21" t="n">
        <x:f>R67/S67-1</x:f>
        <x:v>0.05313650523570357</x:v>
      </x:c>
      <x:c r="U67" s="4" t="str">
        <x:v>已有路径共同窗口，非新增验收；参考质量缺陷保持</x:v>
      </x:c>
    </x:row>
    <x:row r="68" ht="25" customHeight="1">
      <x:c r="A68" s="4" t="str">
        <x:v>28-t45</x:v>
      </x:c>
      <x:c r="B68" s="4" t="str">
        <x:v>diverse_28</x:v>
      </x:c>
      <x:c r="C68" s="4" t="str">
        <x:v>28-S45</x:v>
      </x:c>
      <x:c r="D68" s="4" t="str">
        <x:v>到15%</x:v>
      </x:c>
      <x:c r="E68" s="10" t="n">
        <x:v>0</x:v>
      </x:c>
      <x:c r="F68" s="10" t="n">
        <x:v>15</x:v>
      </x:c>
      <x:c r="G68" s="4" t="str">
        <x:v>否</x:v>
      </x:c>
      <x:c r="H68" s="4" t="str">
        <x:v>是</x:v>
      </x:c>
      <x:c r="I68" s="20" t="n">
        <x:v>4</x:v>
      </x:c>
      <x:c r="J68" s="20" t="n">
        <x:v>40</x:v>
      </x:c>
      <x:c r="K68" s="20" t="n">
        <x:v>0.0797799540553995</x:v>
      </x:c>
      <x:c r="L68" s="20" t="n">
        <x:v>1.789782166481018</x:v>
      </x:c>
      <x:c r="M68" s="21" t="n">
        <x:f>K68/L68</x:f>
        <x:v>0.044575231304410046</x:v>
      </x:c>
      <x:c r="N68" s="21" t="n">
        <x:f>K68/'加载时长与峰位'!$B$4</x:f>
        <x:v>0.03531783230910547</x:v>
      </x:c>
      <x:c r="O68" s="20" t="n">
        <x:v>2.1736684448843837</x:v>
      </x:c>
      <x:c r="P68" s="20" t="n">
        <x:v>2.061511505470202</x:v>
      </x:c>
      <x:c r="Q68" s="21" t="n">
        <x:f>O68/P68-1</x:f>
        <x:v>0.054405196923021926</x:v>
      </x:c>
      <x:c r="R68" s="20" t="n">
        <x:v>1.6928471523437378</x:v>
      </x:c>
      <x:c r="S68" s="20" t="n">
        <x:v>1.6072622009686643</x:v>
      </x:c>
      <x:c r="T68" s="21" t="n">
        <x:f>R68/S68-1</x:f>
        <x:v>0.05324890445597075</x:v>
      </x:c>
      <x:c r="U68" s="4" t="str">
        <x:v>已有路径共同窗口，非新增验收；参考质量缺陷保持</x:v>
      </x:c>
    </x:row>
    <x:row r="69" ht="25" customHeight="1">
      <x:c r="A69" s="4" t="str">
        <x:v>28-t45</x:v>
      </x:c>
      <x:c r="B69" s="4" t="str">
        <x:v>diverse_28</x:v>
      </x:c>
      <x:c r="C69" s="4" t="str">
        <x:v>28-S45</x:v>
      </x:c>
      <x:c r="D69" s="4" t="str">
        <x:v>到20%</x:v>
      </x:c>
      <x:c r="E69" s="10" t="n">
        <x:v>0</x:v>
      </x:c>
      <x:c r="F69" s="10" t="n">
        <x:v>19.999999996704318</x:v>
      </x:c>
      <x:c r="G69" s="4" t="str">
        <x:v>否</x:v>
      </x:c>
      <x:c r="H69" s="4" t="str">
        <x:v>是</x:v>
      </x:c>
      <x:c r="I69" s="20" t="n">
        <x:v>4</x:v>
      </x:c>
      <x:c r="J69" s="20" t="n">
        <x:v>40</x:v>
      </x:c>
      <x:c r="K69" s="20" t="n">
        <x:v>0.08009697271615338</x:v>
      </x:c>
      <x:c r="L69" s="20" t="n">
        <x:v>1.789782166481018</x:v>
      </x:c>
      <x:c r="M69" s="21" t="n">
        <x:f>K69/L69</x:f>
        <x:v>0.04475235825689118</x:v>
      </x:c>
      <x:c r="N69" s="21" t="n">
        <x:f>K69/'加载时长与峰位'!$B$4</x:f>
        <x:v>0.03545817347665726</x:v>
      </x:c>
      <x:c r="O69" s="20" t="n">
        <x:v>2.9611299388685053</x:v>
      </x:c>
      <x:c r="P69" s="20" t="n">
        <x:v>2.808484047595341</x:v>
      </x:c>
      <x:c r="Q69" s="21" t="n">
        <x:f>O69/P69-1</x:f>
        <x:v>0.054351703155964826</x:v>
      </x:c>
      <x:c r="R69" s="20" t="n">
        <x:v>1.481811301319958</x:v>
      </x:c>
      <x:c r="S69" s="20" t="n">
        <x:v>1.3857337344163982</x:v>
      </x:c>
      <x:c r="T69" s="21" t="n">
        <x:f>R69/S69-1</x:f>
        <x:v>0.06933335352770564</x:v>
      </x:c>
      <x:c r="U69" s="4" t="str">
        <x:v>已有路径共同窗口，非新增验收；参考质量缺陷保持</x:v>
      </x:c>
    </x:row>
    <x:row r="70" ht="25" customHeight="1">
      <x:c r="A70" s="4" t="str">
        <x:v>28-t55</x:v>
      </x:c>
      <x:c r="B70" s="4" t="str">
        <x:v>diverse_28</x:v>
      </x:c>
      <x:c r="C70" s="4" t="str">
        <x:v>28-S55</x:v>
      </x:c>
      <x:c r="D70" s="4" t="str">
        <x:v>到5%</x:v>
      </x:c>
      <x:c r="E70" s="10" t="n">
        <x:v>0</x:v>
      </x:c>
      <x:c r="F70" s="10" t="n">
        <x:v>5</x:v>
      </x:c>
      <x:c r="G70" s="4" t="str">
        <x:v>否</x:v>
      </x:c>
      <x:c r="H70" s="4" t="str">
        <x:v>是</x:v>
      </x:c>
      <x:c r="I70" s="20" t="n">
        <x:v>4</x:v>
      </x:c>
      <x:c r="J70" s="20" t="n">
        <x:v>40</x:v>
      </x:c>
      <x:c r="K70" s="20" t="n">
        <x:v>0.06615774391630161</x:v>
      </x:c>
      <x:c r="L70" s="20" t="n">
        <x:v>2.751532793045044</x:v>
      </x:c>
      <x:c r="M70" s="21" t="n">
        <x:f>K70/L70</x:f>
        <x:v>0.024043959818878514</x:v>
      </x:c>
      <x:c r="N70" s="21" t="n">
        <x:f>K70/'加载时长与峰位'!$B$4</x:f>
        <x:v>0.02928740851319838</x:v>
      </x:c>
      <x:c r="O70" s="20" t="n">
        <x:v>0.5189108543712903</x:v>
      </x:c>
      <x:c r="P70" s="20" t="n">
        <x:v>0.48914202477838487</x:v>
      </x:c>
      <x:c r="Q70" s="21" t="n">
        <x:f>O70/P70-1</x:f>
        <x:v>0.060859276212042346</x:v>
      </x:c>
      <x:c r="R70" s="20" t="n">
        <x:v>1.9642261185452492</x:v>
      </x:c>
      <x:c r="S70" s="20" t="n">
        <x:v>1.8509072154704467</x:v>
      </x:c>
      <x:c r="T70" s="21" t="n">
        <x:f>R70/S70-1</x:f>
        <x:v>0.06122343795931462</x:v>
      </x:c>
      <x:c r="U70" s="4" t="str">
        <x:v>已有路径共同窗口，非新增验收；参考质量缺陷保持</x:v>
      </x:c>
    </x:row>
    <x:row r="71" ht="25" customHeight="1">
      <x:c r="A71" s="4" t="str">
        <x:v>28-t55</x:v>
      </x:c>
      <x:c r="B71" s="4" t="str">
        <x:v>diverse_28</x:v>
      </x:c>
      <x:c r="C71" s="4" t="str">
        <x:v>28-S55</x:v>
      </x:c>
      <x:c r="D71" s="4" t="str">
        <x:v>到10%</x:v>
      </x:c>
      <x:c r="E71" s="10" t="n">
        <x:v>0</x:v>
      </x:c>
      <x:c r="F71" s="10" t="n">
        <x:v>10</x:v>
      </x:c>
      <x:c r="G71" s="4" t="str">
        <x:v>否</x:v>
      </x:c>
      <x:c r="H71" s="4" t="str">
        <x:v>是</x:v>
      </x:c>
      <x:c r="I71" s="20" t="n">
        <x:v>4</x:v>
      </x:c>
      <x:c r="J71" s="20" t="n">
        <x:v>40</x:v>
      </x:c>
      <x:c r="K71" s="20" t="n">
        <x:v>0.13141065551541517</x:v>
      </x:c>
      <x:c r="L71" s="20" t="n">
        <x:v>2.751532793045044</x:v>
      </x:c>
      <x:c r="M71" s="21" t="n">
        <x:f>K71/L71</x:f>
        <x:v>0.04775907299654121</x:v>
      </x:c>
      <x:c r="N71" s="21" t="n">
        <x:f>K71/'加载时长与峰位'!$B$4</x:f>
        <x:v>0.05817425630378571</x:v>
      </x:c>
      <x:c r="O71" s="20" t="n">
        <x:v>1.799602811914325</x:v>
      </x:c>
      <x:c r="P71" s="20" t="n">
        <x:v>1.6843050361655738</x:v>
      </x:c>
      <x:c r="Q71" s="21" t="n">
        <x:f>O71/P71-1</x:f>
        <x:v>0.06845421302737043</x:v>
      </x:c>
      <x:c r="R71" s="20" t="n">
        <x:v>2.9275340823955696</x:v>
      </x:c>
      <x:c r="S71" s="20" t="n">
        <x:v>2.7179542569382997</x:v>
      </x:c>
      <x:c r="T71" s="21" t="n">
        <x:f>R71/S71-1</x:f>
        <x:v>0.07710940127938559</x:v>
      </x:c>
      <x:c r="U71" s="4" t="str">
        <x:v>已有路径共同窗口，非新增验收；参考质量缺陷保持</x:v>
      </x:c>
    </x:row>
    <x:row r="72" ht="25" customHeight="1">
      <x:c r="A72" s="4" t="str">
        <x:v>28-t55</x:v>
      </x:c>
      <x:c r="B72" s="4" t="str">
        <x:v>diverse_28</x:v>
      </x:c>
      <x:c r="C72" s="4" t="str">
        <x:v>28-S55</x:v>
      </x:c>
      <x:c r="D72" s="4" t="str">
        <x:v>到12%</x:v>
      </x:c>
      <x:c r="E72" s="10" t="n">
        <x:v>0</x:v>
      </x:c>
      <x:c r="F72" s="10" t="n">
        <x:v>12</x:v>
      </x:c>
      <x:c r="G72" s="4" t="str">
        <x:v>否</x:v>
      </x:c>
      <x:c r="H72" s="4" t="str">
        <x:v>是</x:v>
      </x:c>
      <x:c r="I72" s="20" t="n">
        <x:v>4</x:v>
      </x:c>
      <x:c r="J72" s="20" t="n">
        <x:v>40</x:v>
      </x:c>
      <x:c r="K72" s="20" t="n">
        <x:v>0.14719567533982983</x:v>
      </x:c>
      <x:c r="L72" s="20" t="n">
        <x:v>2.751532793045044</x:v>
      </x:c>
      <x:c r="M72" s="21" t="n">
        <x:f>K72/L72</x:f>
        <x:v>0.053495882626545956</x:v>
      </x:c>
      <x:c r="N72" s="21" t="n">
        <x:f>K72/'加载时长与峰位'!$B$4</x:f>
        <x:v>0.06516213552426581</x:v>
      </x:c>
      <x:c r="O72" s="20" t="n">
        <x:v>2.3900669298234964</x:v>
      </x:c>
      <x:c r="P72" s="20" t="n">
        <x:v>2.232976088414127</x:v>
      </x:c>
      <x:c r="Q72" s="21" t="n">
        <x:f>O72/P72-1</x:f>
        <x:v>0.07035043600531177</x:v>
      </x:c>
      <x:c r="R72" s="20" t="n">
        <x:v>2.9568886490124964</x:v>
      </x:c>
      <x:c r="S72" s="20" t="n">
        <x:v>2.747629818554291</x:v>
      </x:c>
      <x:c r="T72" s="21" t="n">
        <x:f>R72/S72-1</x:f>
        <x:v>0.07615976105846389</x:v>
      </x:c>
      <x:c r="U72" s="4" t="str">
        <x:v>已有路径共同窗口，非新增验收；参考质量缺陷保持</x:v>
      </x:c>
    </x:row>
    <x:row r="73" ht="25" customHeight="1">
      <x:c r="A73" s="4" t="str">
        <x:v>28-t55</x:v>
      </x:c>
      <x:c r="B73" s="4" t="str">
        <x:v>diverse_28</x:v>
      </x:c>
      <x:c r="C73" s="4" t="str">
        <x:v>28-S55</x:v>
      </x:c>
      <x:c r="D73" s="4" t="str">
        <x:v>到15%</x:v>
      </x:c>
      <x:c r="E73" s="10" t="n">
        <x:v>0</x:v>
      </x:c>
      <x:c r="F73" s="10" t="n">
        <x:v>15</x:v>
      </x:c>
      <x:c r="G73" s="4" t="str">
        <x:v>否</x:v>
      </x:c>
      <x:c r="H73" s="4" t="str">
        <x:v>是</x:v>
      </x:c>
      <x:c r="I73" s="20" t="n">
        <x:v>4</x:v>
      </x:c>
      <x:c r="J73" s="20" t="n">
        <x:v>40</x:v>
      </x:c>
      <x:c r="K73" s="20" t="n">
        <x:v>0.1611893278063249</x:v>
      </x:c>
      <x:c r="L73" s="20" t="n">
        <x:v>2.751532793045044</x:v>
      </x:c>
      <x:c r="M73" s="21" t="n">
        <x:f>K73/L73</x:f>
        <x:v>0.05858164882270627</x:v>
      </x:c>
      <x:c r="N73" s="21" t="n">
        <x:f>K73/'加载时长与峰位'!$B$4</x:f>
        <x:v>0.0713569933310324</x:v>
      </x:c>
      <x:c r="O73" s="20" t="n">
        <x:v>3.2629011906798344</x:v>
      </x:c>
      <x:c r="P73" s="20" t="n">
        <x:v>3.0434239578975775</x:v>
      </x:c>
      <x:c r="Q73" s="21" t="n">
        <x:f>O73/P73-1</x:f>
        <x:v>0.07211523462339886</x:v>
      </x:c>
      <x:c r="R73" s="20" t="n">
        <x:v>2.8356682087600062</x:v>
      </x:c>
      <x:c r="S73" s="20" t="n">
        <x:v>2.636639676730789</x:v>
      </x:c>
      <x:c r="T73" s="21" t="n">
        <x:f>R73/S73-1</x:f>
        <x:v>0.07548567738918188</x:v>
      </x:c>
      <x:c r="U73" s="4" t="str">
        <x:v>已有路径共同窗口，非新增验收；参考质量缺陷保持</x:v>
      </x:c>
    </x:row>
    <x:row r="74" ht="25" customHeight="1">
      <x:c r="A74" s="4" t="str">
        <x:v>28-t55</x:v>
      </x:c>
      <x:c r="B74" s="4" t="str">
        <x:v>diverse_28</x:v>
      </x:c>
      <x:c r="C74" s="4" t="str">
        <x:v>28-S55</x:v>
      </x:c>
      <x:c r="D74" s="4" t="str">
        <x:v>到20%</x:v>
      </x:c>
      <x:c r="E74" s="10" t="n">
        <x:v>0</x:v>
      </x:c>
      <x:c r="F74" s="10" t="n">
        <x:v>19.999999996704318</x:v>
      </x:c>
      <x:c r="G74" s="4" t="str">
        <x:v>否</x:v>
      </x:c>
      <x:c r="H74" s="4" t="str">
        <x:v>是</x:v>
      </x:c>
      <x:c r="I74" s="20" t="n">
        <x:v>4</x:v>
      </x:c>
      <x:c r="J74" s="20" t="n">
        <x:v>40</x:v>
      </x:c>
      <x:c r="K74" s="20" t="n">
        <x:v>0.16850898554090848</x:v>
      </x:c>
      <x:c r="L74" s="20" t="n">
        <x:v>2.751532793045044</x:v>
      </x:c>
      <x:c r="M74" s="21" t="n">
        <x:f>K74/L74</x:f>
        <x:v>0.06124185979787082</x:v>
      </x:c>
      <x:c r="N74" s="21" t="n">
        <x:f>K74/'加载时长与峰位'!$B$4</x:f>
        <x:v>0.07459733669160337</x:v>
      </x:c>
      <x:c r="O74" s="20" t="n">
        <x:v>4.604560088500229</x:v>
      </x:c>
      <x:c r="P74" s="20" t="n">
        <x:v>4.290760203646412</x:v>
      </x:c>
      <x:c r="Q74" s="21" t="n">
        <x:f>O74/P74-1</x:f>
        <x:v>0.07313386671833588</x:v>
      </x:c>
      <x:c r="R74" s="20" t="n">
        <x:v>2.5423791891628715</x:v>
      </x:c>
      <x:c r="S74" s="20" t="n">
        <x:v>2.3487037836595563</x:v>
      </x:c>
      <x:c r="T74" s="21" t="n">
        <x:f>R74/S74-1</x:f>
        <x:v>0.08246054987894058</x:v>
      </x:c>
      <x:c r="U74" s="4" t="str">
        <x:v>已有路径共同窗口，非新增验收；参考质量缺陷保持</x:v>
      </x:c>
    </x:row>
    <x:row r="75" ht="25" customHeight="1">
      <x:c r="A75" s="4" t="str">
        <x:v>28-C4</x:v>
      </x:c>
      <x:c r="B75" s="4" t="str">
        <x:v>diverse_28</x:v>
      </x:c>
      <x:c r="C75" s="4" t="str">
        <x:v>28-S40</x:v>
      </x:c>
      <x:c r="D75" s="4" t="str">
        <x:v>到5%</x:v>
      </x:c>
      <x:c r="E75" s="10" t="n">
        <x:v>0</x:v>
      </x:c>
      <x:c r="F75" s="10" t="n">
        <x:v>5</x:v>
      </x:c>
      <x:c r="G75" s="4" t="str">
        <x:v>否</x:v>
      </x:c>
      <x:c r="H75" s="4" t="str">
        <x:v>是</x:v>
      </x:c>
      <x:c r="I75" s="20" t="n">
        <x:v>4</x:v>
      </x:c>
      <x:c r="J75" s="20" t="n">
        <x:v>40</x:v>
      </x:c>
      <x:c r="K75" s="20" t="n">
        <x:v>0.053872073737475386</x:v>
      </x:c>
      <x:c r="L75" s="20" t="n">
        <x:v>2.243082284927368</x:v>
      </x:c>
      <x:c r="M75" s="21" t="n">
        <x:f>K75/L75</x:f>
        <x:v>0.024016985065360534</x:v>
      </x:c>
      <x:c r="N75" s="21" t="n">
        <x:f>K75/'加载时长与峰位'!$B$4</x:f>
        <x:v>0.023848658336939086</x:v>
      </x:c>
      <x:c r="O75" s="20" t="n">
        <x:v>0.45434254703932764</x:v>
      </x:c>
      <x:c r="P75" s="20" t="n">
        <x:v>0.42995234164874585</x:v>
      </x:c>
      <x:c r="Q75" s="21" t="n">
        <x:f>O75/P75-1</x:f>
        <x:v>0.05672769520699017</x:v>
      </x:c>
      <x:c r="R75" s="20" t="n">
        <x:v>1.70135004433869</x:v>
      </x:c>
      <x:c r="S75" s="20" t="n">
        <x:v>1.6103992253526205</x:v>
      </x:c>
      <x:c r="T75" s="21" t="n">
        <x:f>R75/S75-1</x:f>
        <x:v>0.056477187491290826</x:v>
      </x:c>
      <x:c r="U75" s="4" t="str">
        <x:v>已有路径共同窗口，非新增验收；参考质量缺陷保持</x:v>
      </x:c>
    </x:row>
    <x:row r="76" ht="25" customHeight="1">
      <x:c r="A76" s="4" t="str">
        <x:v>28-C4</x:v>
      </x:c>
      <x:c r="B76" s="4" t="str">
        <x:v>diverse_28</x:v>
      </x:c>
      <x:c r="C76" s="4" t="str">
        <x:v>28-S40</x:v>
      </x:c>
      <x:c r="D76" s="4" t="str">
        <x:v>到10%</x:v>
      </x:c>
      <x:c r="E76" s="10" t="n">
        <x:v>0</x:v>
      </x:c>
      <x:c r="F76" s="10" t="n">
        <x:v>10</x:v>
      </x:c>
      <x:c r="G76" s="4" t="str">
        <x:v>否</x:v>
      </x:c>
      <x:c r="H76" s="4" t="str">
        <x:v>是</x:v>
      </x:c>
      <x:c r="I76" s="20" t="n">
        <x:v>4</x:v>
      </x:c>
      <x:c r="J76" s="20" t="n">
        <x:v>40</x:v>
      </x:c>
      <x:c r="K76" s="20" t="n">
        <x:v>0.0984849393669762</x:v>
      </x:c>
      <x:c r="L76" s="20" t="n">
        <x:v>2.243082284927368</x:v>
      </x:c>
      <x:c r="M76" s="21" t="n">
        <x:f>K76/L76</x:f>
        <x:v>0.04390607514880587</x:v>
      </x:c>
      <x:c r="N76" s="21" t="n">
        <x:f>K76/'加载时长与峰位'!$B$4</x:f>
        <x:v>0.04359835267791654</x:v>
      </x:c>
      <x:c r="O76" s="20" t="n">
        <x:v>1.5298340862645243</x:v>
      </x:c>
      <x:c r="P76" s="20" t="n">
        <x:v>1.441693498877864</x:v>
      </x:c>
      <x:c r="Q76" s="21" t="n">
        <x:f>O76/P76-1</x:f>
        <x:v>0.06113684181503509</x:v>
      </x:c>
      <x:c r="R76" s="20" t="n">
        <x:v>2.377093064371732</x:v>
      </x:c>
      <x:c r="S76" s="20" t="n">
        <x:v>2.2387674044908055</x:v>
      </x:c>
      <x:c r="T76" s="21" t="n">
        <x:f>R76/S76-1</x:f>
        <x:v>0.06178652574780896</x:v>
      </x:c>
      <x:c r="U76" s="4" t="str">
        <x:v>已有路径共同窗口，非新增验收；参考质量缺陷保持</x:v>
      </x:c>
    </x:row>
    <x:row r="77" ht="25" customHeight="1">
      <x:c r="A77" s="4" t="str">
        <x:v>28-C4</x:v>
      </x:c>
      <x:c r="B77" s="4" t="str">
        <x:v>diverse_28</x:v>
      </x:c>
      <x:c r="C77" s="4" t="str">
        <x:v>28-S40</x:v>
      </x:c>
      <x:c r="D77" s="4" t="str">
        <x:v>到12%</x:v>
      </x:c>
      <x:c r="E77" s="10" t="n">
        <x:v>0</x:v>
      </x:c>
      <x:c r="F77" s="10" t="n">
        <x:v>12</x:v>
      </x:c>
      <x:c r="G77" s="4" t="str">
        <x:v>否</x:v>
      </x:c>
      <x:c r="H77" s="4" t="str">
        <x:v>是</x:v>
      </x:c>
      <x:c r="I77" s="20" t="n">
        <x:v>4</x:v>
      </x:c>
      <x:c r="J77" s="20" t="n">
        <x:v>40</x:v>
      </x:c>
      <x:c r="K77" s="20" t="n">
        <x:v>0.10514909943560444</x:v>
      </x:c>
      <x:c r="L77" s="20" t="n">
        <x:v>2.243082284927368</x:v>
      </x:c>
      <x:c r="M77" s="21" t="n">
        <x:f>K77/L77</x:f>
        <x:v>0.04687705847536895</x:v>
      </x:c>
      <x:c r="N77" s="21" t="n">
        <x:f>K77/'加载时长与峰位'!$B$4</x:f>
        <x:v>0.04654851341154408</x:v>
      </x:c>
      <x:c r="O77" s="20" t="n">
        <x:v>2.0039126150570796</x:v>
      </x:c>
      <x:c r="P77" s="20" t="n">
        <x:v>1.8890554006452573</x:v>
      </x:c>
      <x:c r="Q77" s="21" t="n">
        <x:f>O77/P77-1</x:f>
        <x:v>0.06080140072789275</x:v>
      </x:c>
      <x:c r="R77" s="20" t="n">
        <x:v>2.3513818413749155</x:v>
      </x:c>
      <x:c r="S77" s="20" t="n">
        <x:v>2.219805912481243</x:v>
      </x:c>
      <x:c r="T77" s="21" t="n">
        <x:f>R77/S77-1</x:f>
        <x:v>0.05927361854199242</x:v>
      </x:c>
      <x:c r="U77" s="4" t="str">
        <x:v>已有路径共同窗口，非新增验收；参考质量缺陷保持</x:v>
      </x:c>
    </x:row>
    <x:row r="78" ht="25" customHeight="1">
      <x:c r="A78" s="4" t="str">
        <x:v>28-C4</x:v>
      </x:c>
      <x:c r="B78" s="4" t="str">
        <x:v>diverse_28</x:v>
      </x:c>
      <x:c r="C78" s="4" t="str">
        <x:v>28-S40</x:v>
      </x:c>
      <x:c r="D78" s="4" t="str">
        <x:v>到15%</x:v>
      </x:c>
      <x:c r="E78" s="10" t="n">
        <x:v>0</x:v>
      </x:c>
      <x:c r="F78" s="10" t="n">
        <x:v>15</x:v>
      </x:c>
      <x:c r="G78" s="4" t="str">
        <x:v>否</x:v>
      </x:c>
      <x:c r="H78" s="4" t="str">
        <x:v>是</x:v>
      </x:c>
      <x:c r="I78" s="20" t="n">
        <x:v>4</x:v>
      </x:c>
      <x:c r="J78" s="20" t="n">
        <x:v>40</x:v>
      </x:c>
      <x:c r="K78" s="20" t="n">
        <x:v>0.10998973708831768</x:v>
      </x:c>
      <x:c r="L78" s="20" t="n">
        <x:v>2.243082284927368</x:v>
      </x:c>
      <x:c r="M78" s="21" t="n">
        <x:f>K78/L78</x:f>
        <x:v>0.04903508793565243</x:v>
      </x:c>
      <x:c r="N78" s="21" t="n">
        <x:f>K78/'加载时长与峰位'!$B$4</x:f>
        <x:v>0.048691417990919396</x:v>
      </x:c>
      <x:c r="O78" s="20" t="n">
        <x:v>2.6902737623506083</x:v>
      </x:c>
      <x:c r="P78" s="20" t="n">
        <x:v>2.537168541582366</x:v>
      </x:c>
      <x:c r="Q78" s="21" t="n">
        <x:f>O78/P78-1</x:f>
        <x:v>0.06034491530970776</x:v>
      </x:c>
      <x:c r="R78" s="20" t="n">
        <x:v>2.21064440965445</x:v>
      </x:c>
      <x:c r="S78" s="20" t="n">
        <x:v>2.0904140550078156</x:v>
      </x:c>
      <x:c r="T78" s="21" t="n">
        <x:f>R78/S78-1</x:f>
        <x:v>0.05751509102161334</x:v>
      </x:c>
      <x:c r="U78" s="4" t="str">
        <x:v>已有路径共同窗口，非新增验收；参考质量缺陷保持</x:v>
      </x:c>
    </x:row>
    <x:row r="79" ht="25" customHeight="1">
      <x:c r="A79" s="4" t="str">
        <x:v>28-C4</x:v>
      </x:c>
      <x:c r="B79" s="4" t="str">
        <x:v>diverse_28</x:v>
      </x:c>
      <x:c r="C79" s="4" t="str">
        <x:v>28-S40</x:v>
      </x:c>
      <x:c r="D79" s="4" t="str">
        <x:v>到20%</x:v>
      </x:c>
      <x:c r="E79" s="10" t="n">
        <x:v>0</x:v>
      </x:c>
      <x:c r="F79" s="10" t="n">
        <x:v>19.999999996704318</x:v>
      </x:c>
      <x:c r="G79" s="4" t="str">
        <x:v>否</x:v>
      </x:c>
      <x:c r="H79" s="4" t="str">
        <x:v>是</x:v>
      </x:c>
      <x:c r="I79" s="20" t="n">
        <x:v>4</x:v>
      </x:c>
      <x:c r="J79" s="20" t="n">
        <x:v>40</x:v>
      </x:c>
      <x:c r="K79" s="20" t="n">
        <x:v>0.11104607233539952</x:v>
      </x:c>
      <x:c r="L79" s="20" t="n">
        <x:v>2.243082284927368</x:v>
      </x:c>
      <x:c r="M79" s="21" t="n">
        <x:f>K79/L79</x:f>
        <x:v>0.04950601816152065</x:v>
      </x:c>
      <x:c r="N79" s="21" t="n">
        <x:f>K79/'加载时长与峰位'!$B$4</x:f>
        <x:v>0.04915904762997293</x:v>
      </x:c>
      <x:c r="O79" s="20" t="n">
        <x:v>3.727314346239405</x:v>
      </x:c>
      <x:c r="P79" s="20" t="n">
        <x:v>3.5171712254853076</x:v>
      </x:c>
      <x:c r="Q79" s="21" t="n">
        <x:f>O79/P79-1</x:f>
        <x:v>0.059747765258457486</x:v>
      </x:c>
      <x:c r="R79" s="20" t="n">
        <x:v>1.9564147704501202</x:v>
      </x:c>
      <x:c r="S79" s="20" t="n">
        <x:v>1.8314450074887274</x:v>
      </x:c>
      <x:c r="T79" s="21" t="n">
        <x:f>R79/S79-1</x:f>
        <x:v>0.06823560764882108</x:v>
      </x:c>
      <x:c r="U79" s="4" t="str">
        <x:v>已有路径共同窗口，非新增验收；参考质量缺陷保持</x:v>
      </x:c>
    </x:row>
    <x:row r="80" ht="25" customHeight="1">
      <x:c r="A80" s="4" t="str">
        <x:v>28-C8</x:v>
      </x:c>
      <x:c r="B80" s="4" t="str">
        <x:v>diverse_28</x:v>
      </x:c>
      <x:c r="C80" s="4" t="str">
        <x:v>28-S40</x:v>
      </x:c>
      <x:c r="D80" s="4" t="str">
        <x:v>到5%</x:v>
      </x:c>
      <x:c r="E80" s="10" t="n">
        <x:v>0</x:v>
      </x:c>
      <x:c r="F80" s="10" t="n">
        <x:v>5</x:v>
      </x:c>
      <x:c r="G80" s="4" t="str">
        <x:v>否</x:v>
      </x:c>
      <x:c r="H80" s="4" t="str">
        <x:v>是</x:v>
      </x:c>
      <x:c r="I80" s="20" t="n">
        <x:v>8</x:v>
      </x:c>
      <x:c r="J80" s="20" t="n">
        <x:v>40</x:v>
      </x:c>
      <x:c r="K80" s="20" t="n">
        <x:v>0.04229284949194892</x:v>
      </x:c>
      <x:c r="L80" s="20" t="n">
        <x:v>2.243082284927368</x:v>
      </x:c>
      <x:c r="M80" s="21" t="n">
        <x:f>K80/L80</x:f>
        <x:v>0.01885479180863772</x:v>
      </x:c>
      <x:c r="N80" s="21" t="n">
        <x:f>K80/'加载时长与峰位'!$B$4</x:f>
        <x:v>0.018722645104479043</x:v>
      </x:c>
      <x:c r="O80" s="20" t="n">
        <x:v>0.4482994882537703</x:v>
      </x:c>
      <x:c r="P80" s="20" t="n">
        <x:v>0.42995234164874585</x:v>
      </x:c>
      <x:c r="Q80" s="21" t="n">
        <x:f>O80/P80-1</x:f>
        <x:v>0.04267251234094527</x:v>
      </x:c>
      <x:c r="R80" s="20" t="n">
        <x:v>1.6858765900569963</x:v>
      </x:c>
      <x:c r="S80" s="20" t="n">
        <x:v>1.6103992253526205</x:v>
      </x:c>
      <x:c r="T80" s="21" t="n">
        <x:f>R80/S80-1</x:f>
        <x:v>0.04686872889413429</x:v>
      </x:c>
      <x:c r="U80" s="4" t="str">
        <x:v>已有路径共同窗口，非新增验收；参考质量缺陷保持</x:v>
      </x:c>
    </x:row>
    <x:row r="81" ht="25" customHeight="1">
      <x:c r="A81" s="4" t="str">
        <x:v>28-C8</x:v>
      </x:c>
      <x:c r="B81" s="4" t="str">
        <x:v>diverse_28</x:v>
      </x:c>
      <x:c r="C81" s="4" t="str">
        <x:v>28-S40</x:v>
      </x:c>
      <x:c r="D81" s="4" t="str">
        <x:v>到10%</x:v>
      </x:c>
      <x:c r="E81" s="10" t="n">
        <x:v>0</x:v>
      </x:c>
      <x:c r="F81" s="10" t="n">
        <x:v>10</x:v>
      </x:c>
      <x:c r="G81" s="4" t="str">
        <x:v>否</x:v>
      </x:c>
      <x:c r="H81" s="4" t="str">
        <x:v>是</x:v>
      </x:c>
      <x:c r="I81" s="20" t="n">
        <x:v>8</x:v>
      </x:c>
      <x:c r="J81" s="20" t="n">
        <x:v>40</x:v>
      </x:c>
      <x:c r="K81" s="20" t="n">
        <x:v>0.08673915911412498</x:v>
      </x:c>
      <x:c r="L81" s="20" t="n">
        <x:v>2.243082284927368</x:v>
      </x:c>
      <x:c r="M81" s="21" t="n">
        <x:f>K81/L81</x:f>
        <x:v>0.038669628705544176</x:v>
      </x:c>
      <x:c r="N81" s="21" t="n">
        <x:f>K81/'加载时长与峰位'!$B$4</x:f>
        <x:v>0.03839860667377948</x:v>
      </x:c>
      <x:c r="O81" s="20" t="n">
        <x:v>1.5168060953097406</x:v>
      </x:c>
      <x:c r="P81" s="20" t="n">
        <x:v>1.441693498877864</x:v>
      </x:c>
      <x:c r="Q81" s="21" t="n">
        <x:f>O81/P81-1</x:f>
        <x:v>0.05210025327182244</x:v>
      </x:c>
      <x:c r="R81" s="20" t="n">
        <x:v>2.377753705773583</x:v>
      </x:c>
      <x:c r="S81" s="20" t="n">
        <x:v>2.2387674044908055</x:v>
      </x:c>
      <x:c r="T81" s="21" t="n">
        <x:f>R81/S81-1</x:f>
        <x:v>0.0620816173238814</x:v>
      </x:c>
      <x:c r="U81" s="4" t="str">
        <x:v>已有路径共同窗口，非新增验收；参考质量缺陷保持</x:v>
      </x:c>
    </x:row>
    <x:row r="82" ht="25" customHeight="1">
      <x:c r="A82" s="4" t="str">
        <x:v>28-C8</x:v>
      </x:c>
      <x:c r="B82" s="4" t="str">
        <x:v>diverse_28</x:v>
      </x:c>
      <x:c r="C82" s="4" t="str">
        <x:v>28-S40</x:v>
      </x:c>
      <x:c r="D82" s="4" t="str">
        <x:v>到12%</x:v>
      </x:c>
      <x:c r="E82" s="10" t="n">
        <x:v>0</x:v>
      </x:c>
      <x:c r="F82" s="10" t="n">
        <x:v>12</x:v>
      </x:c>
      <x:c r="G82" s="4" t="str">
        <x:v>否</x:v>
      </x:c>
      <x:c r="H82" s="4" t="str">
        <x:v>是</x:v>
      </x:c>
      <x:c r="I82" s="20" t="n">
        <x:v>8</x:v>
      </x:c>
      <x:c r="J82" s="20" t="n">
        <x:v>40</x:v>
      </x:c>
      <x:c r="K82" s="20" t="n">
        <x:v>0.09802658792545917</x:v>
      </x:c>
      <x:c r="L82" s="20" t="n">
        <x:v>2.243082284927368</x:v>
      </x:c>
      <x:c r="M82" s="21" t="n">
        <x:f>K82/L82</x:f>
        <x:v>0.04370173514550016</x:v>
      </x:c>
      <x:c r="N82" s="21" t="n">
        <x:f>K82/'加载时长与峰位'!$B$4</x:f>
        <x:v>0.04339544482290707</x:v>
      </x:c>
      <x:c r="O82" s="20" t="n">
        <x:v>1.992480123360021</x:v>
      </x:c>
      <x:c r="P82" s="20" t="n">
        <x:v>1.8890554006452573</x:v>
      </x:c>
      <x:c r="Q82" s="21" t="n">
        <x:f>O82/P82-1</x:f>
        <x:v>0.05474943862389425</x:v>
      </x:c>
      <x:c r="R82" s="20" t="n">
        <x:v>2.3623278586731318</x:v>
      </x:c>
      <x:c r="S82" s="20" t="n">
        <x:v>2.219805912481243</x:v>
      </x:c>
      <x:c r="T82" s="21" t="n">
        <x:f>R82/S82-1</x:f>
        <x:v>0.0642046880722924</x:v>
      </x:c>
      <x:c r="U82" s="4" t="str">
        <x:v>已有路径共同窗口，非新增验收；参考质量缺陷保持</x:v>
      </x:c>
    </x:row>
    <x:row r="83" ht="25" customHeight="1">
      <x:c r="A83" s="4" t="str">
        <x:v>28-C8</x:v>
      </x:c>
      <x:c r="B83" s="4" t="str">
        <x:v>diverse_28</x:v>
      </x:c>
      <x:c r="C83" s="4" t="str">
        <x:v>28-S40</x:v>
      </x:c>
      <x:c r="D83" s="4" t="str">
        <x:v>到15%</x:v>
      </x:c>
      <x:c r="E83" s="10" t="n">
        <x:v>0</x:v>
      </x:c>
      <x:c r="F83" s="10" t="n">
        <x:v>15</x:v>
      </x:c>
      <x:c r="G83" s="4" t="str">
        <x:v>否</x:v>
      </x:c>
      <x:c r="H83" s="4" t="str">
        <x:v>是</x:v>
      </x:c>
      <x:c r="I83" s="20" t="n">
        <x:v>8</x:v>
      </x:c>
      <x:c r="J83" s="20" t="n">
        <x:v>40</x:v>
      </x:c>
      <x:c r="K83" s="20" t="n">
        <x:v>0.10794249791142135</x:v>
      </x:c>
      <x:c r="L83" s="20" t="n">
        <x:v>2.243082284927368</x:v>
      </x:c>
      <x:c r="M83" s="21" t="n">
        <x:f>K83/L83</x:f>
        <x:v>0.04812239775453292</x:v>
      </x:c>
      <x:c r="N83" s="21" t="n">
        <x:f>K83/'加载时长与峰位'!$B$4</x:f>
        <x:v>0.04778512453910759</x:v>
      </x:c>
      <x:c r="O83" s="20" t="n">
        <x:v>2.6828339218004302</x:v>
      </x:c>
      <x:c r="P83" s="20" t="n">
        <x:v>2.537168541582366</x:v>
      </x:c>
      <x:c r="Q83" s="21" t="n">
        <x:f>O83/P83-1</x:f>
        <x:v>0.05741257540865474</x:v>
      </x:c>
      <x:c r="R83" s="20" t="n">
        <x:v>2.227903817385944</x:v>
      </x:c>
      <x:c r="S83" s="20" t="n">
        <x:v>2.0904140550078156</x:v>
      </x:c>
      <x:c r="T83" s="21" t="n">
        <x:f>R83/S83-1</x:f>
        <x:v>0.06577154513899108</x:v>
      </x:c>
      <x:c r="U83" s="4" t="str">
        <x:v>已有路径共同窗口，非新增验收；参考质量缺陷保持</x:v>
      </x:c>
    </x:row>
    <x:row r="84" ht="25" customHeight="1">
      <x:c r="A84" s="4" t="str">
        <x:v>28-C8</x:v>
      </x:c>
      <x:c r="B84" s="4" t="str">
        <x:v>diverse_28</x:v>
      </x:c>
      <x:c r="C84" s="4" t="str">
        <x:v>28-S40</x:v>
      </x:c>
      <x:c r="D84" s="4" t="str">
        <x:v>到20%</x:v>
      </x:c>
      <x:c r="E84" s="10" t="n">
        <x:v>0</x:v>
      </x:c>
      <x:c r="F84" s="10" t="n">
        <x:v>19.999999997799314</x:v>
      </x:c>
      <x:c r="G84" s="4" t="str">
        <x:v>否</x:v>
      </x:c>
      <x:c r="H84" s="4" t="str">
        <x:v>是</x:v>
      </x:c>
      <x:c r="I84" s="20" t="n">
        <x:v>8</x:v>
      </x:c>
      <x:c r="J84" s="20" t="n">
        <x:v>40</x:v>
      </x:c>
      <x:c r="K84" s="20" t="n">
        <x:v>0.11370539556588188</x:v>
      </x:c>
      <x:c r="L84" s="20" t="n">
        <x:v>2.243082284927368</x:v>
      </x:c>
      <x:c r="M84" s="21" t="n">
        <x:f>K84/L84</x:f>
        <x:v>0.0506915846689787</x:v>
      </x:c>
      <x:c r="N84" s="21" t="n">
        <x:f>K84/'加载时长与峰位'!$B$4</x:f>
        <x:v>0.05033630491248108</x:v>
      </x:c>
      <x:c r="O84" s="20" t="n">
        <x:v>3.7275390187185</x:v>
      </x:c>
      <x:c r="P84" s="20" t="n">
        <x:v>3.51717122568585</x:v>
      </x:c>
      <x:c r="Q84" s="21" t="n">
        <x:f>O84/P84-1</x:f>
        <x:v>0.05981164394168159</x:v>
      </x:c>
      <x:c r="R84" s="20" t="n">
        <x:v>1.9568281045213305</x:v>
      </x:c>
      <x:c r="S84" s="20" t="n">
        <x:v>1.831445009749811</x:v>
      </x:c>
      <x:c r="T84" s="21" t="n">
        <x:f>R84/S84-1</x:f>
        <x:v>0.06846129373474752</x:v>
      </x:c>
      <x:c r="U84" s="4" t="str">
        <x:v>已有路径共同窗口，非新增验收；参考质量缺陷保持</x:v>
      </x:c>
    </x:row>
    <x:row r="85" ht="25" customHeight="1">
      <x:c r="A85" s="4" t="str">
        <x:v>04-Support</x:v>
      </x:c>
      <x:c r="B85" s="4" t="str">
        <x:v>diverse_04</x:v>
      </x:c>
      <x:c r="C85" s="4" t="str">
        <x:v>04-S4</x:v>
      </x:c>
      <x:c r="D85" s="4" t="str">
        <x:v>到5%</x:v>
      </x:c>
      <x:c r="E85" s="10" t="n">
        <x:v>0</x:v>
      </x:c>
      <x:c r="F85" s="10" t="n">
        <x:v>5</x:v>
      </x:c>
      <x:c r="G85" s="4" t="str">
        <x:v>是</x:v>
      </x:c>
      <x:c r="H85" s="4" t="str">
        <x:v>是</x:v>
      </x:c>
      <x:c r="I85" s="20" t="n">
        <x:v>4</x:v>
      </x:c>
      <x:c r="J85" s="20" t="n">
        <x:v>4</x:v>
      </x:c>
      <x:c r="K85" s="20" t="n">
        <x:v>0.06078589983176663</x:v>
      </x:c>
      <x:c r="L85" s="20" t="n">
        <x:v>5.229988098144531</x:v>
      </x:c>
      <x:c r="M85" s="21" t="n">
        <x:f>K85/L85</x:f>
        <x:v>0.011622569438223377</x:v>
      </x:c>
      <x:c r="N85" s="21" t="n">
        <x:f>K85/'加载时长与峰位'!$B$4</x:f>
        <x:v>0.026909343862565428</x:v>
      </x:c>
      <x:c r="O85" s="20" t="n">
        <x:v>0.6112315109199047</x:v>
      </x:c>
      <x:c r="P85" s="20" t="n">
        <x:v>0.5852696564654019</x:v>
      </x:c>
      <x:c r="Q85" s="21" t="n">
        <x:f>O85/P85-1</x:f>
        <x:v>0.044358791144740506</x:v>
      </x:c>
      <x:c r="R85" s="20" t="n">
        <x:v>2.4343841684611407</x:v>
      </x:c>
      <x:c r="S85" s="20" t="n">
        <x:v>2.325966645911184</x:v>
      </x:c>
      <x:c r="T85" s="21" t="n">
        <x:f>R85/S85-1</x:f>
        <x:v>0.046611813088783594</x:v>
      </x:c>
      <x:c r="U85" s="4" t="str">
        <x:v>已有路径共同窗口，非新增验收；参考质量缺陷保持</x:v>
      </x:c>
    </x:row>
    <x:row r="86" ht="25" customHeight="1">
      <x:c r="A86" s="4" t="str">
        <x:v>04-Support</x:v>
      </x:c>
      <x:c r="B86" s="4" t="str">
        <x:v>diverse_04</x:v>
      </x:c>
      <x:c r="C86" s="4" t="str">
        <x:v>04-S4</x:v>
      </x:c>
      <x:c r="D86" s="4" t="str">
        <x:v>到10%</x:v>
      </x:c>
      <x:c r="E86" s="10" t="n">
        <x:v>0</x:v>
      </x:c>
      <x:c r="F86" s="10" t="n">
        <x:v>10</x:v>
      </x:c>
      <x:c r="G86" s="4" t="str">
        <x:v>是</x:v>
      </x:c>
      <x:c r="H86" s="4" t="str">
        <x:v>是</x:v>
      </x:c>
      <x:c r="I86" s="20" t="n">
        <x:v>4</x:v>
      </x:c>
      <x:c r="J86" s="20" t="n">
        <x:v>4</x:v>
      </x:c>
      <x:c r="K86" s="20" t="n">
        <x:v>0.13140727397920163</x:v>
      </x:c>
      <x:c r="L86" s="20" t="n">
        <x:v>5.229988098144531</x:v>
      </x:c>
      <x:c r="M86" s="21" t="n">
        <x:f>K86/L86</x:f>
        <x:v>0.025125730979353784</x:v>
      </x:c>
      <x:c r="N86" s="21" t="n">
        <x:f>K86/'加载时长与峰位'!$B$4</x:f>
        <x:v>0.058172759329635365</x:v>
      </x:c>
      <x:c r="O86" s="20" t="n">
        <x:v>2.4206311588780887</x:v>
      </x:c>
      <x:c r="P86" s="20" t="n">
        <x:v>2.3088872798499507</x:v>
      </x:c>
      <x:c r="Q86" s="21" t="n">
        <x:f>O86/P86-1</x:f>
        <x:v>0.04839728643461538</x:v>
      </x:c>
      <x:c r="R86" s="20" t="n">
        <x:v>4.774780769230956</x:v>
      </x:c>
      <x:c r="S86" s="20" t="n">
        <x:v>4.536357579674203</x:v>
      </x:c>
      <x:c r="T86" s="21" t="n">
        <x:f>R86/S86-1</x:f>
        <x:v>0.052558288311539414</x:v>
      </x:c>
      <x:c r="U86" s="4" t="str">
        <x:v>已有路径共同窗口，非新增验收；参考质量缺陷保持</x:v>
      </x:c>
    </x:row>
    <x:row r="87" ht="25" customHeight="1">
      <x:c r="A87" s="4" t="str">
        <x:v>04-Support</x:v>
      </x:c>
      <x:c r="B87" s="4" t="str">
        <x:v>diverse_04</x:v>
      </x:c>
      <x:c r="C87" s="4" t="str">
        <x:v>04-S4</x:v>
      </x:c>
      <x:c r="D87" s="4" t="str">
        <x:v>到12%</x:v>
      </x:c>
      <x:c r="E87" s="10" t="n">
        <x:v>0</x:v>
      </x:c>
      <x:c r="F87" s="10" t="n">
        <x:v>12</x:v>
      </x:c>
      <x:c r="G87" s="4" t="str">
        <x:v>是</x:v>
      </x:c>
      <x:c r="H87" s="4" t="str">
        <x:v>是</x:v>
      </x:c>
      <x:c r="I87" s="20" t="n">
        <x:v>4</x:v>
      </x:c>
      <x:c r="J87" s="20" t="n">
        <x:v>4</x:v>
      </x:c>
      <x:c r="K87" s="20" t="n">
        <x:v>0.168437694512765</x:v>
      </x:c>
      <x:c r="L87" s="20" t="n">
        <x:v>5.229988098144531</x:v>
      </x:c>
      <x:c r="M87" s="21" t="n">
        <x:f>K87/L87</x:f>
        <x:v>0.03220613342743982</x:v>
      </x:c>
      <x:c r="N87" s="21" t="n">
        <x:f>K87/'加载时长与峰位'!$B$4</x:f>
        <x:v>0.0745657768266357</x:v>
      </x:c>
      <x:c r="O87" s="20" t="n">
        <x:v>3.46333388863766</x:v>
      </x:c>
      <x:c r="P87" s="20" t="n">
        <x:v>3.294691255783222</x:v>
      </x:c>
      <x:c r="Q87" s="21" t="n">
        <x:f>O87/P87-1</x:f>
        <x:v>0.05118617186311969</x:v>
      </x:c>
      <x:c r="R87" s="20" t="n">
        <x:v>5.642606879207706</x:v>
      </x:c>
      <x:c r="S87" s="20" t="n">
        <x:v>5.055781124276235</x:v>
      </x:c>
      <x:c r="T87" s="21" t="n">
        <x:f>R87/S87-1</x:f>
        <x:v>0.11607024523148812</x:v>
      </x:c>
      <x:c r="U87" s="4" t="str">
        <x:v>已有路径共同窗口，非新增验收；参考质量缺陷保持</x:v>
      </x:c>
    </x:row>
    <x:row r="88" ht="25" customHeight="1">
      <x:c r="A88" s="4" t="str">
        <x:v>04-Support</x:v>
      </x:c>
      <x:c r="B88" s="4" t="str">
        <x:v>diverse_04</x:v>
      </x:c>
      <x:c r="C88" s="4" t="str">
        <x:v>04-S4</x:v>
      </x:c>
      <x:c r="D88" s="4" t="str">
        <x:v>全部已覆盖</x:v>
      </x:c>
      <x:c r="E88" s="10" t="n">
        <x:v>0</x:v>
      </x:c>
      <x:c r="F88" s="10" t="n">
        <x:v>13.077724201070815</x:v>
      </x:c>
      <x:c r="G88" s="4" t="str">
        <x:v>是</x:v>
      </x:c>
      <x:c r="H88" s="4" t="str">
        <x:v>是</x:v>
      </x:c>
      <x:c r="I88" s="20" t="n">
        <x:v>4</x:v>
      </x:c>
      <x:c r="J88" s="20" t="n">
        <x:v>4</x:v>
      </x:c>
      <x:c r="K88" s="20" t="n">
        <x:v>0.8425527497819265</x:v>
      </x:c>
      <x:c r="L88" s="20" t="n">
        <x:v>5.229988098144531</x:v>
      </x:c>
      <x:c r="M88" s="21" t="n">
        <x:f>K88/L88</x:f>
        <x:v>0.16110031877144101</x:v>
      </x:c>
      <x:c r="N88" s="21" t="n">
        <x:f>K88/'加载时长与峰位'!$B$4</x:f>
        <x:v>0.37299014621781196</x:v>
      </x:c>
      <x:c r="O88" s="20" t="n">
        <x:v>4.095343314907556</x:v>
      </x:c>
      <x:c r="P88" s="20" t="n">
        <x:v>3.6440654743990497</x:v>
      </x:c>
      <x:c r="Q88" s="21" t="n">
        <x:f>O88/P88-1</x:f>
        <x:v>0.12383911421979255</x:v>
      </x:c>
      <x:c r="R88" s="20" t="n">
        <x:v>6.081961344606114</x:v>
      </x:c>
      <x:c r="S88" s="20" t="n">
        <x:v>1.5164186457548432</x:v>
      </x:c>
      <x:c r="T88" s="21" t="n">
        <x:f>R88/S88-1</x:f>
        <x:v>3.01074028048411</x:v>
      </x:c>
      <x:c r="U88" s="4" t="str">
        <x:v>已有路径共同窗口，非新增验收；参考质量缺陷保持</x:v>
      </x:c>
    </x:row>
    <x:row r="89" ht="25" customHeight="1">
      <x:c r="A89" s="4" t="str">
        <x:v>04-S4</x:v>
      </x:c>
      <x:c r="B89" s="4" t="str">
        <x:v>diverse_04</x:v>
      </x:c>
      <x:c r="C89" s="4" t="str">
        <x:v>04-S40</x:v>
      </x:c>
      <x:c r="D89" s="4" t="str">
        <x:v>到5%</x:v>
      </x:c>
      <x:c r="E89" s="10" t="n">
        <x:v>0</x:v>
      </x:c>
      <x:c r="F89" s="10" t="n">
        <x:v>5</x:v>
      </x:c>
      <x:c r="G89" s="4" t="str">
        <x:v>否</x:v>
      </x:c>
      <x:c r="H89" s="4" t="str">
        <x:v>是</x:v>
      </x:c>
      <x:c r="I89" s="20" t="n">
        <x:v>4</x:v>
      </x:c>
      <x:c r="J89" s="20" t="n">
        <x:v>40</x:v>
      </x:c>
      <x:c r="K89" s="20" t="n">
        <x:v>0.008143825529417226</x:v>
      </x:c>
      <x:c r="L89" s="20" t="n">
        <x:v>5.098315715789795</x:v>
      </x:c>
      <x:c r="M89" s="21" t="n">
        <x:f>K89/L89</x:f>
        <x:v>0.0015973560649049845</x:v>
      </x:c>
      <x:c r="N89" s="21" t="n">
        <x:f>K89/'加载时长与峰位'!$B$4</x:f>
        <x:v>0.003605194660839785</x:v>
      </x:c>
      <x:c r="O89" s="20" t="n">
        <x:v>0.5852696564654019</x:v>
      </x:c>
      <x:c r="P89" s="20" t="n">
        <x:v>0.5812274776915904</x:v>
      </x:c>
      <x:c r="Q89" s="21" t="n">
        <x:f>O89/P89-1</x:f>
        <x:v>0.006954555537989071</x:v>
      </x:c>
      <x:c r="R89" s="20" t="n">
        <x:v>2.325966645911184</x:v>
      </x:c>
      <x:c r="S89" s="20" t="n">
        <x:v>2.319672099352383</x:v>
      </x:c>
      <x:c r="T89" s="21" t="n">
        <x:f>R89/S89-1</x:f>
        <x:v>0.0027135501438149134</x:v>
      </x:c>
      <x:c r="U89" s="4" t="str">
        <x:v>壳T对照；已有记录回顾，不是新增精度认证</x:v>
      </x:c>
    </x:row>
    <x:row r="90" ht="25" customHeight="1">
      <x:c r="A90" s="4" t="str">
        <x:v>04-S4</x:v>
      </x:c>
      <x:c r="B90" s="4" t="str">
        <x:v>diverse_04</x:v>
      </x:c>
      <x:c r="C90" s="4" t="str">
        <x:v>04-S40</x:v>
      </x:c>
      <x:c r="D90" s="4" t="str">
        <x:v>到10%</x:v>
      </x:c>
      <x:c r="E90" s="10" t="n">
        <x:v>0</x:v>
      </x:c>
      <x:c r="F90" s="10" t="n">
        <x:v>10</x:v>
      </x:c>
      <x:c r="G90" s="4" t="str">
        <x:v>否</x:v>
      </x:c>
      <x:c r="H90" s="4" t="str">
        <x:v>是</x:v>
      </x:c>
      <x:c r="I90" s="20" t="n">
        <x:v>4</x:v>
      </x:c>
      <x:c r="J90" s="20" t="n">
        <x:v>40</x:v>
      </x:c>
      <x:c r="K90" s="20" t="n">
        <x:v>0.006386875185732497</x:v>
      </x:c>
      <x:c r="L90" s="20" t="n">
        <x:v>5.098315715789795</x:v>
      </x:c>
      <x:c r="M90" s="21" t="n">
        <x:f>K90/L90</x:f>
        <x:v>0.001252742188160681</x:v>
      </x:c>
      <x:c r="N90" s="21" t="n">
        <x:f>K90/'加载时长与峰位'!$B$4</x:f>
        <x:v>0.0028274093343329094</x:v>
      </x:c>
      <x:c r="O90" s="20" t="n">
        <x:v>2.3088872798499507</x:v>
      </x:c>
      <x:c r="P90" s="20" t="n">
        <x:v>2.3030845539869187</x:v>
      </x:c>
      <x:c r="Q90" s="21" t="n">
        <x:f>O90/P90-1</x:f>
        <x:v>0.0025195452997965884</x:v>
      </x:c>
      <x:c r="R90" s="20" t="n">
        <x:v>4.536357579674203</x:v>
      </x:c>
      <x:c r="S90" s="20" t="n">
        <x:v>4.535820606327636</x:v>
      </x:c>
      <x:c r="T90" s="21" t="n">
        <x:f>R90/S90-1</x:f>
        <x:v>0.00011838504940375749</x:v>
      </x:c>
      <x:c r="U90" s="4" t="str">
        <x:v>壳T对照；已有记录回顾，不是新增精度认证</x:v>
      </x:c>
    </x:row>
    <x:row r="91" ht="25" customHeight="1">
      <x:c r="A91" s="4" t="str">
        <x:v>04-S4</x:v>
      </x:c>
      <x:c r="B91" s="4" t="str">
        <x:v>diverse_04</x:v>
      </x:c>
      <x:c r="C91" s="4" t="str">
        <x:v>04-S40</x:v>
      </x:c>
      <x:c r="D91" s="4" t="str">
        <x:v>到12%</x:v>
      </x:c>
      <x:c r="E91" s="10" t="n">
        <x:v>0</x:v>
      </x:c>
      <x:c r="F91" s="10" t="n">
        <x:v>12</x:v>
      </x:c>
      <x:c r="G91" s="4" t="str">
        <x:v>否</x:v>
      </x:c>
      <x:c r="H91" s="4" t="str">
        <x:v>是</x:v>
      </x:c>
      <x:c r="I91" s="20" t="n">
        <x:v>4</x:v>
      </x:c>
      <x:c r="J91" s="20" t="n">
        <x:v>40</x:v>
      </x:c>
      <x:c r="K91" s="20" t="n">
        <x:v>0.4440830585452758</x:v>
      </x:c>
      <x:c r="L91" s="20" t="n">
        <x:v>5.098315715789795</x:v>
      </x:c>
      <x:c r="M91" s="21" t="n">
        <x:f>K91/L91</x:f>
        <x:v>0.08710387573094452</x:v>
      </x:c>
      <x:c r="N91" s="21" t="n">
        <x:f>K91/'加载时长与峰位'!$B$4</x:f>
        <x:v>0.19659137660226847</x:v>
      </x:c>
      <x:c r="O91" s="20" t="n">
        <x:v>3.294691255783222</x:v>
      </x:c>
      <x:c r="P91" s="20" t="n">
        <x:v>3.1791476368228504</x:v>
      </x:c>
      <x:c r="Q91" s="21" t="n">
        <x:f>O91/P91-1</x:f>
        <x:v>0.036344213028068895</x:v>
      </x:c>
      <x:c r="R91" s="20" t="n">
        <x:v>5.055781124276235</x:v>
      </x:c>
      <x:c r="S91" s="20" t="n">
        <x:v>2.927569261491428</x:v>
      </x:c>
      <x:c r="T91" s="21" t="n">
        <x:f>R91/S91-1</x:f>
        <x:v>0.7269552562867823</x:v>
      </x:c>
      <x:c r="U91" s="4" t="str">
        <x:v>壳T对照；已有记录回顾，不是新增精度认证</x:v>
      </x:c>
    </x:row>
    <x:row r="92" ht="25" customHeight="1">
      <x:c r="A92" s="4" t="str">
        <x:v>04-S4</x:v>
      </x:c>
      <x:c r="B92" s="4" t="str">
        <x:v>diverse_04</x:v>
      </x:c>
      <x:c r="C92" s="4" t="str">
        <x:v>04-S40</x:v>
      </x:c>
      <x:c r="D92" s="4" t="str">
        <x:v>到15%</x:v>
      </x:c>
      <x:c r="E92" s="10" t="n">
        <x:v>0</x:v>
      </x:c>
      <x:c r="F92" s="10" t="n">
        <x:v>15</x:v>
      </x:c>
      <x:c r="G92" s="4" t="str">
        <x:v>否</x:v>
      </x:c>
      <x:c r="H92" s="4" t="str">
        <x:v>是</x:v>
      </x:c>
      <x:c r="I92" s="20" t="n">
        <x:v>4</x:v>
      </x:c>
      <x:c r="J92" s="20" t="n">
        <x:v>40</x:v>
      </x:c>
      <x:c r="K92" s="20" t="n">
        <x:v>0.6371554689387897</x:v>
      </x:c>
      <x:c r="L92" s="20" t="n">
        <x:v>5.098315715789795</x:v>
      </x:c>
      <x:c r="M92" s="21" t="n">
        <x:f>K92/L92</x:f>
        <x:v>0.1249737176859174</x:v>
      </x:c>
      <x:c r="N92" s="21" t="n">
        <x:f>K92/'加载时长与峰位'!$B$4</x:f>
        <x:v>0.28206270952705115</x:v>
      </x:c>
      <x:c r="O92" s="20" t="n">
        <x:v>3.98747209235357</x:v>
      </x:c>
      <x:c r="P92" s="20" t="n">
        <x:v>3.6289384894394865</x:v>
      </x:c>
      <x:c r="Q92" s="21" t="n">
        <x:f>O92/P92-1</x:f>
        <x:v>0.098798478937421</x:v>
      </x:c>
      <x:c r="R92" s="20" t="n">
        <x:v>1.6683822019690941</x:v>
      </x:c>
      <x:c r="S92" s="20" t="n">
        <x:v>1.2551060843939241</x:v>
      </x:c>
      <x:c r="T92" s="21" t="n">
        <x:f>R92/S92-1</x:f>
        <x:v>0.32927584585388736</x:v>
      </x:c>
      <x:c r="U92" s="4" t="str">
        <x:v>壳T对照；已有记录回顾，不是新增精度认证</x:v>
      </x:c>
    </x:row>
    <x:row r="93" ht="25" customHeight="1">
      <x:c r="A93" s="4" t="str">
        <x:v>04-S4</x:v>
      </x:c>
      <x:c r="B93" s="4" t="str">
        <x:v>diverse_04</x:v>
      </x:c>
      <x:c r="C93" s="4" t="str">
        <x:v>04-S40</x:v>
      </x:c>
      <x:c r="D93" s="4" t="str">
        <x:v>到20%</x:v>
      </x:c>
      <x:c r="E93" s="10" t="n">
        <x:v>0</x:v>
      </x:c>
      <x:c r="F93" s="10" t="n">
        <x:v>20</x:v>
      </x:c>
      <x:c r="G93" s="4" t="str">
        <x:v>否</x:v>
      </x:c>
      <x:c r="H93" s="4" t="str">
        <x:v>是</x:v>
      </x:c>
      <x:c r="I93" s="20" t="n">
        <x:v>4</x:v>
      </x:c>
      <x:c r="J93" s="20" t="n">
        <x:v>40</x:v>
      </x:c>
      <x:c r="K93" s="20" t="n">
        <x:v>0.6072457869654817</x:v>
      </x:c>
      <x:c r="L93" s="20" t="n">
        <x:v>5.098315715789795</x:v>
      </x:c>
      <x:c r="M93" s="21" t="n">
        <x:f>K93/L93</x:f>
        <x:v>0.11910713671277838</x:v>
      </x:c>
      <x:c r="N93" s="21" t="n">
        <x:f>K93/'加载时长与峰位'!$B$4</x:f>
        <x:v>0.26882197575051325</x:v>
      </x:c>
      <x:c r="O93" s="20" t="n">
        <x:v>4.658291226887748</x:v>
      </x:c>
      <x:c r="P93" s="20" t="n">
        <x:v>4.42228898923187</x:v>
      </x:c>
      <x:c r="Q93" s="21" t="n">
        <x:f>O93/P93-1</x:f>
        <x:v>0.05336653444190009</x:v>
      </x:c>
      <x:c r="R93" s="20" t="n">
        <x:v>1.5718765918861466</x:v>
      </x:c>
      <x:c r="S93" s="20" t="n">
        <x:v>1.6397884708452952</x:v>
      </x:c>
      <x:c r="T93" s="21" t="n">
        <x:f>R93/S93-1</x:f>
        <x:v>-0.04141502405132824</x:v>
      </x:c>
      <x:c r="U93" s="4" t="str">
        <x:v>壳T对照；已有记录回顾，不是新增精度认证</x:v>
      </x:c>
    </x:row>
    <x:row r="94" ht="25" customHeight="1">
      <x:c r="A94" s="4" t="str">
        <x:v>04-S2</x:v>
      </x:c>
      <x:c r="B94" s="4" t="str">
        <x:v>diverse_04</x:v>
      </x:c>
      <x:c r="C94" s="4" t="str">
        <x:v>04-S40</x:v>
      </x:c>
      <x:c r="D94" s="4" t="str">
        <x:v>到5%</x:v>
      </x:c>
      <x:c r="E94" s="10" t="n">
        <x:v>0</x:v>
      </x:c>
      <x:c r="F94" s="10" t="n">
        <x:v>5</x:v>
      </x:c>
      <x:c r="G94" s="4" t="str">
        <x:v>否</x:v>
      </x:c>
      <x:c r="H94" s="4" t="str">
        <x:v>是</x:v>
      </x:c>
      <x:c r="I94" s="20" t="n">
        <x:v>2</x:v>
      </x:c>
      <x:c r="J94" s="20" t="n">
        <x:v>40</x:v>
      </x:c>
      <x:c r="K94" s="20" t="n">
        <x:v>0.03252910897498479</x:v>
      </x:c>
      <x:c r="L94" s="20" t="n">
        <x:v>5.098315715789795</x:v>
      </x:c>
      <x:c r="M94" s="21" t="n">
        <x:f>K94/L94</x:f>
        <x:v>0.006380363788425294</x:v>
      </x:c>
      <x:c r="N94" s="21" t="n">
        <x:f>K94/'加载时长与峰位'!$B$4</x:f>
        <x:v>0.014400329375288427</x:v>
      </x:c>
      <x:c r="O94" s="20" t="n">
        <x:v>0.5973719188996979</x:v>
      </x:c>
      <x:c r="P94" s="20" t="n">
        <x:v>0.5812274776915904</x:v>
      </x:c>
      <x:c r="Q94" s="21" t="n">
        <x:f>O94/P94-1</x:f>
        <x:v>0.027776459007455845</x:v>
      </x:c>
      <x:c r="R94" s="20" t="n">
        <x:v>2.34500904293091</x:v>
      </x:c>
      <x:c r="S94" s="20" t="n">
        <x:v>2.319672099352383</x:v>
      </x:c>
      <x:c r="T94" s="21" t="n">
        <x:f>R94/S94-1</x:f>
        <x:v>0.010922640137630113</x:v>
      </x:c>
      <x:c r="U94" s="4" t="str">
        <x:v>壳T对照；已有记录回顾，不是新增精度认证</x:v>
      </x:c>
    </x:row>
    <x:row r="95" ht="25" customHeight="1">
      <x:c r="A95" s="4" t="str">
        <x:v>04-S2</x:v>
      </x:c>
      <x:c r="B95" s="4" t="str">
        <x:v>diverse_04</x:v>
      </x:c>
      <x:c r="C95" s="4" t="str">
        <x:v>04-S40</x:v>
      </x:c>
      <x:c r="D95" s="4" t="str">
        <x:v>到10%</x:v>
      </x:c>
      <x:c r="E95" s="10" t="n">
        <x:v>0</x:v>
      </x:c>
      <x:c r="F95" s="10" t="n">
        <x:v>10</x:v>
      </x:c>
      <x:c r="G95" s="4" t="str">
        <x:v>否</x:v>
      </x:c>
      <x:c r="H95" s="4" t="str">
        <x:v>是</x:v>
      </x:c>
      <x:c r="I95" s="20" t="n">
        <x:v>2</x:v>
      </x:c>
      <x:c r="J95" s="20" t="n">
        <x:v>40</x:v>
      </x:c>
      <x:c r="K95" s="20" t="n">
        <x:v>0.025563553244215415</x:v>
      </x:c>
      <x:c r="L95" s="20" t="n">
        <x:v>5.098315715789795</x:v>
      </x:c>
      <x:c r="M95" s="21" t="n">
        <x:f>K95/L95</x:f>
        <x:v>0.005014117341741613</x:v>
      </x:c>
      <x:c r="N95" s="21" t="n">
        <x:f>K95/'加载时长与峰位'!$B$4</x:f>
        <x:v>0.011316743628069116</x:v>
      </x:c>
      <x:c r="O95" s="20" t="n">
        <x:v>2.326355326193684</x:v>
      </x:c>
      <x:c r="P95" s="20" t="n">
        <x:v>2.3030845539869187</x:v>
      </x:c>
      <x:c r="Q95" s="21" t="n">
        <x:f>O95/P95-1</x:f>
        <x:v>0.0101041762302998</x:v>
      </x:c>
      <x:c r="R95" s="20" t="n">
        <x:v>4.539065201274552</x:v>
      </x:c>
      <x:c r="S95" s="20" t="n">
        <x:v>4.535820606327636</x:v>
      </x:c>
      <x:c r="T95" s="21" t="n">
        <x:f>R95/S95-1</x:f>
        <x:v>0.0007153270000115342</x:v>
      </x:c>
      <x:c r="U95" s="4" t="str">
        <x:v>壳T对照；已有记录回顾，不是新增精度认证</x:v>
      </x:c>
    </x:row>
    <x:row r="96" ht="25" customHeight="1">
      <x:c r="A96" s="4" t="str">
        <x:v>04-S2</x:v>
      </x:c>
      <x:c r="B96" s="4" t="str">
        <x:v>diverse_04</x:v>
      </x:c>
      <x:c r="C96" s="4" t="str">
        <x:v>04-S40</x:v>
      </x:c>
      <x:c r="D96" s="4" t="str">
        <x:v>到12%</x:v>
      </x:c>
      <x:c r="E96" s="10" t="n">
        <x:v>0</x:v>
      </x:c>
      <x:c r="F96" s="10" t="n">
        <x:v>12</x:v>
      </x:c>
      <x:c r="G96" s="4" t="str">
        <x:v>否</x:v>
      </x:c>
      <x:c r="H96" s="4" t="str">
        <x:v>是</x:v>
      </x:c>
      <x:c r="I96" s="20" t="n">
        <x:v>2</x:v>
      </x:c>
      <x:c r="J96" s="20" t="n">
        <x:v>40</x:v>
      </x:c>
      <x:c r="K96" s="20" t="n">
        <x:v>0.45200650706845985</x:v>
      </x:c>
      <x:c r="L96" s="20" t="n">
        <x:v>5.098315715789795</x:v>
      </x:c>
      <x:c r="M96" s="21" t="n">
        <x:f>K96/L96</x:f>
        <x:v>0.08865800634287282</x:v>
      </x:c>
      <x:c r="N96" s="21" t="n">
        <x:f>K96/'加载时长与峰位'!$B$4</x:f>
        <x:v>0.2000990124434388</x:v>
      </x:c>
      <x:c r="O96" s="20" t="n">
        <x:v>3.313790245041517</x:v>
      </x:c>
      <x:c r="P96" s="20" t="n">
        <x:v>3.1791476368228504</x:v>
      </x:c>
      <x:c r="Q96" s="21" t="n">
        <x:f>O96/P96-1</x:f>
        <x:v>0.04235179475754847</x:v>
      </x:c>
      <x:c r="R96" s="20" t="n">
        <x:v>5.306275833465805</x:v>
      </x:c>
      <x:c r="S96" s="20" t="n">
        <x:v>2.927569261491428</x:v>
      </x:c>
      <x:c r="T96" s="21" t="n">
        <x:f>R96/S96-1</x:f>
        <x:v>0.8125193153457837</x:v>
      </x:c>
      <x:c r="U96" s="4" t="str">
        <x:v>壳T对照；已有记录回顾，不是新增精度认证</x:v>
      </x:c>
    </x:row>
    <x:row r="97" ht="25" customHeight="1">
      <x:c r="A97" s="4" t="str">
        <x:v>04-S2</x:v>
      </x:c>
      <x:c r="B97" s="4" t="str">
        <x:v>diverse_04</x:v>
      </x:c>
      <x:c r="C97" s="4" t="str">
        <x:v>04-S40</x:v>
      </x:c>
      <x:c r="D97" s="4" t="str">
        <x:v>到15%</x:v>
      </x:c>
      <x:c r="E97" s="10" t="n">
        <x:v>0</x:v>
      </x:c>
      <x:c r="F97" s="10" t="n">
        <x:v>15</x:v>
      </x:c>
      <x:c r="G97" s="4" t="str">
        <x:v>否</x:v>
      </x:c>
      <x:c r="H97" s="4" t="str">
        <x:v>是</x:v>
      </x:c>
      <x:c r="I97" s="20" t="n">
        <x:v>2</x:v>
      </x:c>
      <x:c r="J97" s="20" t="n">
        <x:v>40</x:v>
      </x:c>
      <x:c r="K97" s="20" t="n">
        <x:v>0.9755954923634043</x:v>
      </x:c>
      <x:c r="L97" s="20" t="n">
        <x:v>5.098315715789795</x:v>
      </x:c>
      <x:c r="M97" s="21" t="n">
        <x:f>K97/L97</x:f>
        <x:v>0.1913564296031973</x:v>
      </x:c>
      <x:c r="N97" s="21" t="n">
        <x:f>K97/'加载时长与峰位'!$B$4</x:f>
        <x:v>0.4318869120541681</x:v>
      </x:c>
      <x:c r="O97" s="20" t="n">
        <x:v>4.118274196719765</x:v>
      </x:c>
      <x:c r="P97" s="20" t="n">
        <x:v>3.6289384894394865</x:v>
      </x:c>
      <x:c r="Q97" s="21" t="n">
        <x:f>O97/P97-1</x:f>
        <x:v>0.1348426568001322</x:v>
      </x:c>
      <x:c r="R97" s="20" t="n">
        <x:v>1.4880584723388413</x:v>
      </x:c>
      <x:c r="S97" s="20" t="n">
        <x:v>1.2551060843939241</x:v>
      </x:c>
      <x:c r="T97" s="21" t="n">
        <x:f>R97/S97-1</x:f>
        <x:v>0.1856037436527982</x:v>
      </x:c>
      <x:c r="U97" s="4" t="str">
        <x:v>壳T对照；已有记录回顾，不是新增精度认证</x:v>
      </x:c>
    </x:row>
    <x:row r="98" ht="25" customHeight="1">
      <x:c r="A98" s="4" t="str">
        <x:v>04-S2</x:v>
      </x:c>
      <x:c r="B98" s="4" t="str">
        <x:v>diverse_04</x:v>
      </x:c>
      <x:c r="C98" s="4" t="str">
        <x:v>04-S40</x:v>
      </x:c>
      <x:c r="D98" s="4" t="str">
        <x:v>到20%</x:v>
      </x:c>
      <x:c r="E98" s="10" t="n">
        <x:v>0</x:v>
      </x:c>
      <x:c r="F98" s="10" t="n">
        <x:v>20</x:v>
      </x:c>
      <x:c r="G98" s="4" t="str">
        <x:v>否</x:v>
      </x:c>
      <x:c r="H98" s="4" t="str">
        <x:v>是</x:v>
      </x:c>
      <x:c r="I98" s="20" t="n">
        <x:v>2</x:v>
      </x:c>
      <x:c r="J98" s="20" t="n">
        <x:v>40</x:v>
      </x:c>
      <x:c r="K98" s="20" t="n">
        <x:v>0.878555634880074</x:v>
      </x:c>
      <x:c r="L98" s="20" t="n">
        <x:v>5.098315715789795</x:v>
      </x:c>
      <x:c r="M98" s="21" t="n">
        <x:f>K98/L98</x:f>
        <x:v>0.17232272065049514</x:v>
      </x:c>
      <x:c r="N98" s="21" t="n">
        <x:f>K98/'加载时长与峰位'!$B$4</x:f>
        <x:v>0.3889282834804306</x:v>
      </x:c>
      <x:c r="O98" s="20" t="n">
        <x:v>4.927704576516337</x:v>
      </x:c>
      <x:c r="P98" s="20" t="n">
        <x:v>4.42228898923187</x:v>
      </x:c>
      <x:c r="Q98" s="21" t="n">
        <x:f>O98/P98-1</x:f>
        <x:v>0.11428823139219024</x:v>
      </x:c>
      <x:c r="R98" s="20" t="n">
        <x:v>1.4397775270609918</x:v>
      </x:c>
      <x:c r="S98" s="20" t="n">
        <x:v>1.6397884708452952</x:v>
      </x:c>
      <x:c r="T98" s="21" t="n">
        <x:f>R98/S98-1</x:f>
        <x:v>-0.1219736248549178</x:v>
      </x:c>
      <x:c r="U98" s="4" t="str">
        <x:v>壳T对照；已有记录回顾，不是新增精度认证</x:v>
      </x:c>
    </x:row>
    <x:row r="99" ht="25" customHeight="1">
      <x:c r="A99" s="4" t="str">
        <x:v>04-S1</x:v>
      </x:c>
      <x:c r="B99" s="4" t="str">
        <x:v>diverse_04</x:v>
      </x:c>
      <x:c r="C99" s="4" t="str">
        <x:v>04-S40</x:v>
      </x:c>
      <x:c r="D99" s="4" t="str">
        <x:v>到5%</x:v>
      </x:c>
      <x:c r="E99" s="10" t="n">
        <x:v>0</x:v>
      </x:c>
      <x:c r="F99" s="10" t="n">
        <x:v>5</x:v>
      </x:c>
      <x:c r="G99" s="4" t="str">
        <x:v>否</x:v>
      </x:c>
      <x:c r="H99" s="4" t="str">
        <x:v>是</x:v>
      </x:c>
      <x:c r="I99" s="20" t="n">
        <x:v>1</x:v>
      </x:c>
      <x:c r="J99" s="20" t="n">
        <x:v>40</x:v>
      </x:c>
      <x:c r="K99" s="20" t="n">
        <x:v>0.1313243312393363</x:v>
      </x:c>
      <x:c r="L99" s="20" t="n">
        <x:v>5.098315715789795</x:v>
      </x:c>
      <x:c r="M99" s="21" t="n">
        <x:f>K99/L99</x:f>
        <x:v>0.025758375620524406</x:v>
      </x:c>
      <x:c r="N99" s="21" t="n">
        <x:f>K99/'加载时长与峰位'!$B$4</x:f>
        <x:v>0.05813604136191395</x:v>
      </x:c>
      <x:c r="O99" s="20" t="n">
        <x:v>0.6464889400382777</x:v>
      </x:c>
      <x:c r="P99" s="20" t="n">
        <x:v>0.5812274776915904</x:v>
      </x:c>
      <x:c r="Q99" s="21" t="n">
        <x:f>O99/P99-1</x:f>
        <x:v>0.11228213539710885</x:v>
      </x:c>
      <x:c r="R99" s="20" t="n">
        <x:v>2.4202900273798575</x:v>
      </x:c>
      <x:c r="S99" s="20" t="n">
        <x:v>2.319672099352383</x:v>
      </x:c>
      <x:c r="T99" s="21" t="n">
        <x:f>R99/S99-1</x:f>
        <x:v>0.043375927164690964</x:v>
      </x:c>
      <x:c r="U99" s="4" t="str">
        <x:v>壳T对照；已有记录回顾，不是新增精度认证</x:v>
      </x:c>
    </x:row>
    <x:row r="100" ht="25" customHeight="1">
      <x:c r="A100" s="4" t="str">
        <x:v>04-S1</x:v>
      </x:c>
      <x:c r="B100" s="4" t="str">
        <x:v>diverse_04</x:v>
      </x:c>
      <x:c r="C100" s="4" t="str">
        <x:v>04-S40</x:v>
      </x:c>
      <x:c r="D100" s="4" t="str">
        <x:v>到10%</x:v>
      </x:c>
      <x:c r="E100" s="10" t="n">
        <x:v>0</x:v>
      </x:c>
      <x:c r="F100" s="10" t="n">
        <x:v>10</x:v>
      </x:c>
      <x:c r="G100" s="4" t="str">
        <x:v>否</x:v>
      </x:c>
      <x:c r="H100" s="4" t="str">
        <x:v>是</x:v>
      </x:c>
      <x:c r="I100" s="20" t="n">
        <x:v>1</x:v>
      </x:c>
      <x:c r="J100" s="20" t="n">
        <x:v>40</x:v>
      </x:c>
      <x:c r="K100" s="20" t="n">
        <x:v>0.10202332629804159</x:v>
      </x:c>
      <x:c r="L100" s="20" t="n">
        <x:v>5.098315715789795</x:v>
      </x:c>
      <x:c r="M100" s="21" t="n">
        <x:f>K100/L100</x:f>
        <x:v>0.020011182513093317</x:v>
      </x:c>
      <x:c r="N100" s="21" t="n">
        <x:f>K100/'加载时长与峰位'!$B$4</x:f>
        <x:v>0.04516476315979422</x:v>
      </x:c>
      <x:c r="O100" s="20" t="n">
        <x:v>2.394968464567977</x:v>
      </x:c>
      <x:c r="P100" s="20" t="n">
        <x:v>2.3030845539869187</x:v>
      </x:c>
      <x:c r="Q100" s="21" t="n">
        <x:f>O100/P100-1</x:f>
        <x:v>0.03989602136925274</x:v>
      </x:c>
      <x:c r="R100" s="20" t="n">
        <x:v>4.537383544636678</x:v>
      </x:c>
      <x:c r="S100" s="20" t="n">
        <x:v>4.535820606327636</x:v>
      </x:c>
      <x:c r="T100" s="21" t="n">
        <x:f>R100/S100-1</x:f>
        <x:v>0.0003445767468981398</x:v>
      </x:c>
      <x:c r="U100" s="4" t="str">
        <x:v>壳T对照；已有记录回顾，不是新增精度认证</x:v>
      </x:c>
    </x:row>
    <x:row r="101" ht="25" customHeight="1">
      <x:c r="A101" s="4" t="str">
        <x:v>04-S1</x:v>
      </x:c>
      <x:c r="B101" s="4" t="str">
        <x:v>diverse_04</x:v>
      </x:c>
      <x:c r="C101" s="4" t="str">
        <x:v>04-S40</x:v>
      </x:c>
      <x:c r="D101" s="4" t="str">
        <x:v>到12%</x:v>
      </x:c>
      <x:c r="E101" s="10" t="n">
        <x:v>0</x:v>
      </x:c>
      <x:c r="F101" s="10" t="n">
        <x:v>12</x:v>
      </x:c>
      <x:c r="G101" s="4" t="str">
        <x:v>否</x:v>
      </x:c>
      <x:c r="H101" s="4" t="str">
        <x:v>是</x:v>
      </x:c>
      <x:c r="I101" s="20" t="n">
        <x:v>1</x:v>
      </x:c>
      <x:c r="J101" s="20" t="n">
        <x:v>40</x:v>
      </x:c>
      <x:c r="K101" s="20" t="n">
        <x:v>0.4602915771493412</x:v>
      </x:c>
      <x:c r="L101" s="20" t="n">
        <x:v>5.098315715789795</x:v>
      </x:c>
      <x:c r="M101" s="21" t="n">
        <x:f>K101/L101</x:f>
        <x:v>0.0902830665672175</x:v>
      </x:c>
      <x:c r="N101" s="21" t="n">
        <x:f>K101/'加载时长与峰位'!$B$4</x:f>
        <x:v>0.20376673473345874</x:v>
      </x:c>
      <x:c r="O101" s="20" t="n">
        <x:v>3.381609720894832</x:v>
      </x:c>
      <x:c r="P101" s="20" t="n">
        <x:v>3.1791476368228504</x:v>
      </x:c>
      <x:c r="Q101" s="21" t="n">
        <x:f>O101/P101-1</x:f>
        <x:v>0.06368439191906061</x:v>
      </x:c>
      <x:c r="R101" s="20" t="n">
        <x:v>5.309324456416128</x:v>
      </x:c>
      <x:c r="S101" s="20" t="n">
        <x:v>2.927569261491428</x:v>
      </x:c>
      <x:c r="T101" s="21" t="n">
        <x:f>R101/S101-1</x:f>
        <x:v>0.8135606649016847</x:v>
      </x:c>
      <x:c r="U101" s="4" t="str">
        <x:v>壳T对照；已有记录回顾，不是新增精度认证</x:v>
      </x:c>
    </x:row>
    <x:row r="102" ht="25" customHeight="1">
      <x:c r="A102" s="4" t="str">
        <x:v>04-S1</x:v>
      </x:c>
      <x:c r="B102" s="4" t="str">
        <x:v>diverse_04</x:v>
      </x:c>
      <x:c r="C102" s="4" t="str">
        <x:v>04-S40</x:v>
      </x:c>
      <x:c r="D102" s="4" t="str">
        <x:v>到15%</x:v>
      </x:c>
      <x:c r="E102" s="10" t="n">
        <x:v>0</x:v>
      </x:c>
      <x:c r="F102" s="10" t="n">
        <x:v>15</x:v>
      </x:c>
      <x:c r="G102" s="4" t="str">
        <x:v>否</x:v>
      </x:c>
      <x:c r="H102" s="4" t="str">
        <x:v>是</x:v>
      </x:c>
      <x:c r="I102" s="20" t="n">
        <x:v>1</x:v>
      </x:c>
      <x:c r="J102" s="20" t="n">
        <x:v>40</x:v>
      </x:c>
      <x:c r="K102" s="20" t="n">
        <x:v>1.3851997790965074</x:v>
      </x:c>
      <x:c r="L102" s="20" t="n">
        <x:v>5.098315715789795</x:v>
      </x:c>
      <x:c r="M102" s="21" t="n">
        <x:f>K102/L102</x:f>
        <x:v>0.27169752842227074</x:v>
      </x:c>
      <x:c r="N102" s="21" t="n">
        <x:f>K102/'加载时长与峰位'!$B$4</x:f>
        <x:v>0.6132148619535253</x:v>
      </x:c>
      <x:c r="O102" s="20" t="n">
        <x:v>4.633763670033645</x:v>
      </x:c>
      <x:c r="P102" s="20" t="n">
        <x:v>3.6289384894394865</x:v>
      </x:c>
      <x:c r="Q102" s="21" t="n">
        <x:f>O102/P102-1</x:f>
        <x:v>0.2768923153473897</x:v>
      </x:c>
      <x:c r="R102" s="20" t="n">
        <x:v>1.062471830887694</x:v>
      </x:c>
      <x:c r="S102" s="20" t="n">
        <x:v>1.2551060843939241</x:v>
      </x:c>
      <x:c r="T102" s="21" t="n">
        <x:f>R102/S102-1</x:f>
        <x:v>-0.15348045547819256</x:v>
      </x:c>
      <x:c r="U102" s="4" t="str">
        <x:v>壳T对照；已有记录回顾，不是新增精度认证</x:v>
      </x:c>
    </x:row>
    <x:row r="103" ht="25" customHeight="1">
      <x:c r="A103" s="4" t="str">
        <x:v>04-S1</x:v>
      </x:c>
      <x:c r="B103" s="4" t="str">
        <x:v>diverse_04</x:v>
      </x:c>
      <x:c r="C103" s="4" t="str">
        <x:v>04-S40</x:v>
      </x:c>
      <x:c r="D103" s="4" t="str">
        <x:v>到20%</x:v>
      </x:c>
      <x:c r="E103" s="10" t="n">
        <x:v>0</x:v>
      </x:c>
      <x:c r="F103" s="10" t="n">
        <x:v>20</x:v>
      </x:c>
      <x:c r="G103" s="4" t="str">
        <x:v>否</x:v>
      </x:c>
      <x:c r="H103" s="4" t="str">
        <x:v>是</x:v>
      </x:c>
      <x:c r="I103" s="20" t="n">
        <x:v>1</x:v>
      </x:c>
      <x:c r="J103" s="20" t="n">
        <x:v>40</x:v>
      </x:c>
      <x:c r="K103" s="20" t="n">
        <x:v>1.265003610720894</x:v>
      </x:c>
      <x:c r="L103" s="20" t="n">
        <x:v>5.098315715789795</x:v>
      </x:c>
      <x:c r="M103" s="21" t="n">
        <x:f>K103/L103</x:f>
        <x:v>0.24812186636521952</x:v>
      </x:c>
      <x:c r="N103" s="21" t="n">
        <x:f>K103/'加载时长与峰位'!$B$4</x:f>
        <x:v>0.5600051532096579</x:v>
      </x:c>
      <x:c r="O103" s="20" t="n">
        <x:v>5.199294080982639</x:v>
      </x:c>
      <x:c r="P103" s="20" t="n">
        <x:v>4.42228898923187</x:v>
      </x:c>
      <x:c r="Q103" s="21" t="n">
        <x:f>O103/P103-1</x:f>
        <x:v>0.17570201622796522</x:v>
      </x:c>
      <x:c r="R103" s="20" t="n">
        <x:v>1.8893079056504702</x:v>
      </x:c>
      <x:c r="S103" s="20" t="n">
        <x:v>1.6397884708452952</x:v>
      </x:c>
      <x:c r="T103" s="21" t="n">
        <x:f>R103/S103-1</x:f>
        <x:v>0.1521656233358868</x:v>
      </x:c>
      <x:c r="U103" s="4" t="str">
        <x:v>壳T对照；已有记录回顾，不是新增精度认证</x:v>
      </x:c>
    </x:row>
    <x:row r="104" ht="25" customHeight="1">
      <x:c r="A104" s="4" t="str">
        <x:v>04-S025</x:v>
      </x:c>
      <x:c r="B104" s="4" t="str">
        <x:v>diverse_04</x:v>
      </x:c>
      <x:c r="C104" s="4" t="str">
        <x:v>04-S40</x:v>
      </x:c>
      <x:c r="D104" s="4" t="str">
        <x:v>到5%</x:v>
      </x:c>
      <x:c r="E104" s="10" t="n">
        <x:v>0</x:v>
      </x:c>
      <x:c r="F104" s="10" t="n">
        <x:v>5</x:v>
      </x:c>
      <x:c r="G104" s="4" t="str">
        <x:v>否</x:v>
      </x:c>
      <x:c r="H104" s="4" t="str">
        <x:v>是</x:v>
      </x:c>
      <x:c r="I104" s="20" t="n">
        <x:v>0.25</x:v>
      </x:c>
      <x:c r="J104" s="20" t="n">
        <x:v>40</x:v>
      </x:c>
      <x:c r="K104" s="20" t="n">
        <x:v>2.652313508333588</x:v>
      </x:c>
      <x:c r="L104" s="20" t="n">
        <x:v>5.098315715789795</x:v>
      </x:c>
      <x:c r="M104" s="21" t="n">
        <x:f>K104/L104</x:f>
        <x:v>0.5202332802025601</x:v>
      </x:c>
      <x:c r="N104" s="21" t="n">
        <x:f>K104/'加载时长与峰位'!$B$4</x:f>
        <x:v>1.174154144704738</x:v>
      </x:c>
      <x:c r="O104" s="20" t="n">
        <x:v>1.8757334520660756</x:v>
      </x:c>
      <x:c r="P104" s="20" t="n">
        <x:v>0.5812274776915904</x:v>
      </x:c>
      <x:c r="Q104" s="21" t="n">
        <x:f>O104/P104-1</x:f>
        <x:v>2.22719335210331</x:v>
      </x:c>
      <x:c r="R104" s="20" t="n">
        <x:v>4.858219350112216</x:v>
      </x:c>
      <x:c r="S104" s="20" t="n">
        <x:v>2.319672099352383</x:v>
      </x:c>
      <x:c r="T104" s="21" t="n">
        <x:f>R104/S104-1</x:f>
        <x:v>1.0943560736315088</x:v>
      </x:c>
      <x:c r="U104" s="4" t="str">
        <x:v>壳T对照；已有记录回顾，不是新增精度认证</x:v>
      </x:c>
    </x:row>
    <x:row r="105" ht="25" customHeight="1">
      <x:c r="A105" s="4" t="str">
        <x:v>04-S025</x:v>
      </x:c>
      <x:c r="B105" s="4" t="str">
        <x:v>diverse_04</x:v>
      </x:c>
      <x:c r="C105" s="4" t="str">
        <x:v>04-S40</x:v>
      </x:c>
      <x:c r="D105" s="4" t="str">
        <x:v>到10%</x:v>
      </x:c>
      <x:c r="E105" s="10" t="n">
        <x:v>0</x:v>
      </x:c>
      <x:c r="F105" s="10" t="n">
        <x:v>10</x:v>
      </x:c>
      <x:c r="G105" s="4" t="str">
        <x:v>否</x:v>
      </x:c>
      <x:c r="H105" s="4" t="str">
        <x:v>是</x:v>
      </x:c>
      <x:c r="I105" s="20" t="n">
        <x:v>0.25</x:v>
      </x:c>
      <x:c r="J105" s="20" t="n">
        <x:v>40</x:v>
      </x:c>
      <x:c r="K105" s="20" t="n">
        <x:v>2.1470356918667495</x:v>
      </x:c>
      <x:c r="L105" s="20" t="n">
        <x:v>5.098315715789795</x:v>
      </x:c>
      <x:c r="M105" s="21" t="n">
        <x:f>K105/L105</x:f>
        <x:v>0.4211264683387984</x:v>
      </x:c>
      <x:c r="N105" s="21" t="n">
        <x:f>K105/'加载时长与峰位'!$B$4</x:f>
        <x:v>0.9504724266243423</x:v>
      </x:c>
      <x:c r="O105" s="20" t="n">
        <x:v>4.228991793904114</x:v>
      </x:c>
      <x:c r="P105" s="20" t="n">
        <x:v>2.3030845539869187</x:v>
      </x:c>
      <x:c r="Q105" s="21" t="n">
        <x:f>O105/P105-1</x:f>
        <x:v>0.8362294977764564</x:v>
      </x:c>
      <x:c r="R105" s="20" t="n">
        <x:v>4.504215005478093</x:v>
      </x:c>
      <x:c r="S105" s="20" t="n">
        <x:v>4.535820606327636</x:v>
      </x:c>
      <x:c r="T105" s="21" t="n">
        <x:f>R105/S105-1</x:f>
        <x:v>-0.00696800063156211</x:v>
      </x:c>
      <x:c r="U105" s="4" t="str">
        <x:v>壳T对照；已有记录回顾，不是新增精度认证</x:v>
      </x:c>
    </x:row>
    <x:row r="106" ht="25" customHeight="1">
      <x:c r="A106" s="4" t="str">
        <x:v>04-S025</x:v>
      </x:c>
      <x:c r="B106" s="4" t="str">
        <x:v>diverse_04</x:v>
      </x:c>
      <x:c r="C106" s="4" t="str">
        <x:v>04-S40</x:v>
      </x:c>
      <x:c r="D106" s="4" t="str">
        <x:v>到12%</x:v>
      </x:c>
      <x:c r="E106" s="10" t="n">
        <x:v>0</x:v>
      </x:c>
      <x:c r="F106" s="10" t="n">
        <x:v>12</x:v>
      </x:c>
      <x:c r="G106" s="4" t="str">
        <x:v>否</x:v>
      </x:c>
      <x:c r="H106" s="4" t="str">
        <x:v>是</x:v>
      </x:c>
      <x:c r="I106" s="20" t="n">
        <x:v>0.25</x:v>
      </x:c>
      <x:c r="J106" s="20" t="n">
        <x:v>40</x:v>
      </x:c>
      <x:c r="K106" s="20" t="n">
        <x:v>1.987365773350008</x:v>
      </x:c>
      <x:c r="L106" s="20" t="n">
        <x:v>5.098315715789795</x:v>
      </x:c>
      <x:c r="M106" s="21" t="n">
        <x:f>K106/L106</x:f>
        <x:v>0.38980829829643837</x:v>
      </x:c>
      <x:c r="N106" s="21" t="n">
        <x:f>K106/'加载时长与峰位'!$B$4</x:f>
        <x:v>0.879788061438234</x:v>
      </x:c>
      <x:c r="O106" s="20" t="n">
        <x:v>5.127113796493682</x:v>
      </x:c>
      <x:c r="P106" s="20" t="n">
        <x:v>3.1791476368228504</x:v>
      </x:c>
      <x:c r="Q106" s="21" t="n">
        <x:f>O106/P106-1</x:f>
        <x:v>0.6127322107058777</x:v>
      </x:c>
      <x:c r="R106" s="20" t="n">
        <x:v>4.491288553340004</x:v>
      </x:c>
      <x:c r="S106" s="20" t="n">
        <x:v>2.927569261491428</x:v>
      </x:c>
      <x:c r="T106" s="21" t="n">
        <x:f>R106/S106-1</x:f>
        <x:v>0.5341357119769563</x:v>
      </x:c>
      <x:c r="U106" s="4" t="str">
        <x:v>壳T对照；已有记录回顾，不是新增精度认证</x:v>
      </x:c>
    </x:row>
    <x:row r="107" ht="25" customHeight="1">
      <x:c r="A107" s="4" t="str">
        <x:v>04-S025</x:v>
      </x:c>
      <x:c r="B107" s="4" t="str">
        <x:v>diverse_04</x:v>
      </x:c>
      <x:c r="C107" s="4" t="str">
        <x:v>04-S40</x:v>
      </x:c>
      <x:c r="D107" s="4" t="str">
        <x:v>到15%</x:v>
      </x:c>
      <x:c r="E107" s="10" t="n">
        <x:v>0</x:v>
      </x:c>
      <x:c r="F107" s="10" t="n">
        <x:v>15</x:v>
      </x:c>
      <x:c r="G107" s="4" t="str">
        <x:v>否</x:v>
      </x:c>
      <x:c r="H107" s="4" t="str">
        <x:v>是</x:v>
      </x:c>
      <x:c r="I107" s="20" t="n">
        <x:v>0.25</x:v>
      </x:c>
      <x:c r="J107" s="20" t="n">
        <x:v>40</x:v>
      </x:c>
      <x:c r="K107" s="20" t="n">
        <x:v>2.2634630001922917</x:v>
      </x:c>
      <x:c r="L107" s="20" t="n">
        <x:v>5.098315715789795</x:v>
      </x:c>
      <x:c r="M107" s="21" t="n">
        <x:f>K107/L107</x:f>
        <x:v>0.4439628940950457</x:v>
      </x:c>
      <x:c r="N107" s="21" t="n">
        <x:f>K107/'加载时长与峰位'!$B$4</x:f>
        <x:v>1.0020136966128743</x:v>
      </x:c>
      <x:c r="O107" s="20" t="n">
        <x:v>6.503100492752431</x:v>
      </x:c>
      <x:c r="P107" s="20" t="n">
        <x:v>3.6289384894394865</x:v>
      </x:c>
      <x:c r="Q107" s="21" t="n">
        <x:f>O107/P107-1</x:f>
        <x:v>0.7920117719484625</x:v>
      </x:c>
      <x:c r="R107" s="20" t="n">
        <x:v>4.71473309567401</x:v>
      </x:c>
      <x:c r="S107" s="20" t="n">
        <x:v>1.2551060843939241</x:v>
      </x:c>
      <x:c r="T107" s="21" t="n">
        <x:f>R107/S107-1</x:f>
        <x:v>2.7564419090125747</x:v>
      </x:c>
      <x:c r="U107" s="4" t="str">
        <x:v>壳T对照；已有记录回顾，不是新增精度认证</x:v>
      </x:c>
    </x:row>
    <x:row r="108" ht="25" customHeight="1">
      <x:c r="A108" s="4" t="str">
        <x:v>04-S025</x:v>
      </x:c>
      <x:c r="B108" s="4" t="str">
        <x:v>diverse_04</x:v>
      </x:c>
      <x:c r="C108" s="4" t="str">
        <x:v>04-S40</x:v>
      </x:c>
      <x:c r="D108" s="4" t="str">
        <x:v>到20%</x:v>
      </x:c>
      <x:c r="E108" s="10" t="n">
        <x:v>0</x:v>
      </x:c>
      <x:c r="F108" s="10" t="n">
        <x:v>20</x:v>
      </x:c>
      <x:c r="G108" s="4" t="str">
        <x:v>否</x:v>
      </x:c>
      <x:c r="H108" s="4" t="str">
        <x:v>是</x:v>
      </x:c>
      <x:c r="I108" s="20" t="n">
        <x:v>0.25</x:v>
      </x:c>
      <x:c r="J108" s="20" t="n">
        <x:v>40</x:v>
      </x:c>
      <x:c r="K108" s="20" t="n">
        <x:v>2.3244220922050247</x:v>
      </x:c>
      <x:c r="L108" s="20" t="n">
        <x:v>5.098315715789795</x:v>
      </x:c>
      <x:c r="M108" s="21" t="n">
        <x:f>K108/L108</x:f>
        <x:v>0.4559196059604837</x:v>
      </x:c>
      <x:c r="N108" s="21" t="n">
        <x:f>K108/'加载时长与峰位'!$B$4</x:f>
        <x:v>1.0289997110185234</x:v>
      </x:c>
      <x:c r="O108" s="20" t="n">
        <x:v>7.364646801612924</x:v>
      </x:c>
      <x:c r="P108" s="20" t="n">
        <x:v>4.42228898923187</x:v>
      </x:c>
      <x:c r="Q108" s="21" t="n">
        <x:f>O108/P108-1</x:f>
        <x:v>0.6653472487993435</x:v>
      </x:c>
      <x:c r="R108" s="20" t="n">
        <x:v>-1.5651608184876273</x:v>
      </x:c>
      <x:c r="S108" s="20" t="n">
        <x:v>1.6397884708452952</x:v>
      </x:c>
      <x:c r="T108" s="21" t="n">
        <x:f>R108/S108-1</x:f>
        <x:v>-1.9544894639250647</x:v>
      </x:c>
      <x:c r="U108" s="4" t="str">
        <x:v>壳T对照；已有记录回顾，不是新增精度认证</x:v>
      </x:c>
    </x:row>
    <x:row r="109" ht="25" customHeight="1">
      <x:c r="A109" s="4" t="str">
        <x:v>28-S20</x:v>
      </x:c>
      <x:c r="B109" s="4" t="str">
        <x:v>diverse_28</x:v>
      </x:c>
      <x:c r="C109" s="4" t="str">
        <x:v>28-S40</x:v>
      </x:c>
      <x:c r="D109" s="4" t="str">
        <x:v>到5%</x:v>
      </x:c>
      <x:c r="E109" s="10" t="n">
        <x:v>0</x:v>
      </x:c>
      <x:c r="F109" s="10" t="n">
        <x:v>5</x:v>
      </x:c>
      <x:c r="G109" s="4" t="str">
        <x:v>否</x:v>
      </x:c>
      <x:c r="H109" s="4" t="str">
        <x:v>是</x:v>
      </x:c>
      <x:c r="I109" s="20" t="n">
        <x:v>20</x:v>
      </x:c>
      <x:c r="J109" s="20" t="n">
        <x:v>40</x:v>
      </x:c>
      <x:c r="K109" s="20" t="n">
        <x:v>0.0006622585701082115</x:v>
      </x:c>
      <x:c r="L109" s="20" t="n">
        <x:v>2.243082284927368</x:v>
      </x:c>
      <x:c r="M109" s="21" t="n">
        <x:f>K109/L109</x:f>
        <x:v>0.0002952448844869976</x:v>
      </x:c>
      <x:c r="N109" s="21" t="n">
        <x:f>K109/'加载时长与峰位'!$B$4</x:f>
        <x:v>0.00029317561536959524</x:v>
      </x:c>
      <x:c r="O109" s="20" t="n">
        <x:v>0.43027242391311626</x:v>
      </x:c>
      <x:c r="P109" s="20" t="n">
        <x:v>0.42995234164874585</x:v>
      </x:c>
      <x:c r="Q109" s="21" t="n">
        <x:f>O109/P109-1</x:f>
        <x:v>0.0007444598700008243</x:v>
      </x:c>
      <x:c r="R109" s="20" t="n">
        <x:v>1.6113692283533512</x:v>
      </x:c>
      <x:c r="S109" s="20" t="n">
        <x:v>1.6103992253526205</x:v>
      </x:c>
      <x:c r="T109" s="21" t="n">
        <x:f>R109/S109-1</x:f>
        <x:v>0.0006023369767320652</x:v>
      </x:c>
      <x:c r="U109" s="4" t="str">
        <x:v>壳T对照；已有记录回顾，不是新增精度认证</x:v>
      </x:c>
    </x:row>
    <x:row r="110" ht="25" customHeight="1">
      <x:c r="A110" s="4" t="str">
        <x:v>28-S20</x:v>
      </x:c>
      <x:c r="B110" s="4" t="str">
        <x:v>diverse_28</x:v>
      </x:c>
      <x:c r="C110" s="4" t="str">
        <x:v>28-S40</x:v>
      </x:c>
      <x:c r="D110" s="4" t="str">
        <x:v>到10%</x:v>
      </x:c>
      <x:c r="E110" s="10" t="n">
        <x:v>0</x:v>
      </x:c>
      <x:c r="F110" s="10" t="n">
        <x:v>10</x:v>
      </x:c>
      <x:c r="G110" s="4" t="str">
        <x:v>否</x:v>
      </x:c>
      <x:c r="H110" s="4" t="str">
        <x:v>是</x:v>
      </x:c>
      <x:c r="I110" s="20" t="n">
        <x:v>20</x:v>
      </x:c>
      <x:c r="J110" s="20" t="n">
        <x:v>40</x:v>
      </x:c>
      <x:c r="K110" s="20" t="n">
        <x:v>0.0008175107735340722</x:v>
      </x:c>
      <x:c r="L110" s="20" t="n">
        <x:v>2.243082284927368</x:v>
      </x:c>
      <x:c r="M110" s="21" t="n">
        <x:f>K110/L110</x:f>
        <x:v>0.00036445866432427534</x:v>
      </x:c>
      <x:c r="N110" s="21" t="n">
        <x:f>K110/'加载时长与峰位'!$B$4</x:f>
        <x:v>0.00036190429980085154</x:v>
      </x:c>
      <x:c r="O110" s="20" t="n">
        <x:v>1.4424592213222918</x:v>
      </x:c>
      <x:c r="P110" s="20" t="n">
        <x:v>1.441693498877864</x:v>
      </x:c>
      <x:c r="Q110" s="21" t="n">
        <x:f>O110/P110-1</x:f>
        <x:v>0.0005311270703680648</x:v>
      </x:c>
      <x:c r="R110" s="20" t="n">
        <x:v>2.23878393859684</x:v>
      </x:c>
      <x:c r="S110" s="20" t="n">
        <x:v>2.2387674044908055</x:v>
      </x:c>
      <x:c r="T110" s="21" t="n">
        <x:f>R110/S110-1</x:f>
        <x:v>0.000007385361249001576</x:v>
      </x:c>
      <x:c r="U110" s="4" t="str">
        <x:v>壳T对照；已有记录回顾，不是新增精度认证</x:v>
      </x:c>
    </x:row>
    <x:row r="111" ht="25" customHeight="1">
      <x:c r="A111" s="4" t="str">
        <x:v>28-S20</x:v>
      </x:c>
      <x:c r="B111" s="4" t="str">
        <x:v>diverse_28</x:v>
      </x:c>
      <x:c r="C111" s="4" t="str">
        <x:v>28-S40</x:v>
      </x:c>
      <x:c r="D111" s="4" t="str">
        <x:v>到12%</x:v>
      </x:c>
      <x:c r="E111" s="10" t="n">
        <x:v>0</x:v>
      </x:c>
      <x:c r="F111" s="10" t="n">
        <x:v>12</x:v>
      </x:c>
      <x:c r="G111" s="4" t="str">
        <x:v>否</x:v>
      </x:c>
      <x:c r="H111" s="4" t="str">
        <x:v>是</x:v>
      </x:c>
      <x:c r="I111" s="20" t="n">
        <x:v>20</x:v>
      </x:c>
      <x:c r="J111" s="20" t="n">
        <x:v>40</x:v>
      </x:c>
      <x:c r="K111" s="20" t="n">
        <x:v>0.0007765718333420078</x:v>
      </x:c>
      <x:c r="L111" s="20" t="n">
        <x:v>2.243082284927368</x:v>
      </x:c>
      <x:c r="M111" s="21" t="n">
        <x:f>K111/L111</x:f>
        <x:v>0.000346207465753827</x:v>
      </x:c>
      <x:c r="N111" s="21" t="n">
        <x:f>K111/'加载时长与峰位'!$B$4</x:f>
        <x:v>0.0003437810175586506</x:v>
      </x:c>
      <x:c r="O111" s="20" t="n">
        <x:v>1.8897279393928592</x:v>
      </x:c>
      <x:c r="P111" s="20" t="n">
        <x:v>1.8890554006452573</x:v>
      </x:c>
      <x:c r="Q111" s="21" t="n">
        <x:f>O111/P111-1</x:f>
        <x:v>0.0003560185409978711</x:v>
      </x:c>
      <x:c r="R111" s="20" t="n">
        <x:v>2.2190034326721704</x:v>
      </x:c>
      <x:c r="S111" s="20" t="n">
        <x:v>2.219805912481243</x:v>
      </x:c>
      <x:c r="T111" s="21" t="n">
        <x:f>R111/S111-1</x:f>
        <x:v>-0.00036150899705267303</x:v>
      </x:c>
      <x:c r="U111" s="4" t="str">
        <x:v>壳T对照；已有记录回顾，不是新增精度认证</x:v>
      </x:c>
    </x:row>
    <x:row r="112" ht="25" customHeight="1">
      <x:c r="A112" s="4" t="str">
        <x:v>28-S20</x:v>
      </x:c>
      <x:c r="B112" s="4" t="str">
        <x:v>diverse_28</x:v>
      </x:c>
      <x:c r="C112" s="4" t="str">
        <x:v>28-S40</x:v>
      </x:c>
      <x:c r="D112" s="4" t="str">
        <x:v>到15%</x:v>
      </x:c>
      <x:c r="E112" s="10" t="n">
        <x:v>0</x:v>
      </x:c>
      <x:c r="F112" s="10" t="n">
        <x:v>15</x:v>
      </x:c>
      <x:c r="G112" s="4" t="str">
        <x:v>否</x:v>
      </x:c>
      <x:c r="H112" s="4" t="str">
        <x:v>是</x:v>
      </x:c>
      <x:c r="I112" s="20" t="n">
        <x:v>20</x:v>
      </x:c>
      <x:c r="J112" s="20" t="n">
        <x:v>40</x:v>
      </x:c>
      <x:c r="K112" s="20" t="n">
        <x:v>0.0007906327659739136</x:v>
      </x:c>
      <x:c r="L112" s="20" t="n">
        <x:v>2.243082284927368</x:v>
      </x:c>
      <x:c r="M112" s="21" t="n">
        <x:f>K112/L112</x:f>
        <x:v>0.00035247604213481387</x:v>
      </x:c>
      <x:c r="N112" s="21" t="n">
        <x:f>K112/'加载时长与峰位'!$B$4</x:f>
        <x:v>0.00035000565965932713</x:v>
      </x:c>
      <x:c r="O112" s="20" t="n">
        <x:v>2.5375877483614584</x:v>
      </x:c>
      <x:c r="P112" s="20" t="n">
        <x:v>2.537168541582366</x:v>
      </x:c>
      <x:c r="Q112" s="21" t="n">
        <x:f>O112/P112-1</x:f>
        <x:v>0.00016522622451842217</x:v>
      </x:c>
      <x:c r="R112" s="20" t="n">
        <x:v>2.0895708399065906</x:v>
      </x:c>
      <x:c r="S112" s="20" t="n">
        <x:v>2.0904140550078156</x:v>
      </x:c>
      <x:c r="T112" s="21" t="n">
        <x:f>R112/S112-1</x:f>
        <x:v>-0.0004033722884732027</x:v>
      </x:c>
      <x:c r="U112" s="4" t="str">
        <x:v>壳T对照；已有记录回顾，不是新增精度认证</x:v>
      </x:c>
    </x:row>
    <x:row r="113" ht="25" customHeight="1">
      <x:c r="A113" s="4" t="str">
        <x:v>28-S20</x:v>
      </x:c>
      <x:c r="B113" s="4" t="str">
        <x:v>diverse_28</x:v>
      </x:c>
      <x:c r="C113" s="4" t="str">
        <x:v>28-S40</x:v>
      </x:c>
      <x:c r="D113" s="4" t="str">
        <x:v>到20%</x:v>
      </x:c>
      <x:c r="E113" s="10" t="n">
        <x:v>0</x:v>
      </x:c>
      <x:c r="F113" s="10" t="n">
        <x:v>20</x:v>
      </x:c>
      <x:c r="G113" s="4" t="str">
        <x:v>否</x:v>
      </x:c>
      <x:c r="H113" s="4" t="str">
        <x:v>是</x:v>
      </x:c>
      <x:c r="I113" s="20" t="n">
        <x:v>20</x:v>
      </x:c>
      <x:c r="J113" s="20" t="n">
        <x:v>40</x:v>
      </x:c>
      <x:c r="K113" s="20" t="n">
        <x:v>0.0007953152111162505</x:v>
      </x:c>
      <x:c r="L113" s="20" t="n">
        <x:v>2.243082284927368</x:v>
      </x:c>
      <x:c r="M113" s="21" t="n">
        <x:f>K113/L113</x:f>
        <x:v>0.0003545635469819615</x:v>
      </x:c>
      <x:c r="N113" s="21" t="n">
        <x:f>K113/'加载时长与峰位'!$B$4</x:f>
        <x:v>0.00035207853390814906</x:v>
      </x:c>
      <x:c r="O113" s="20" t="n">
        <x:v>3.5171899101814748</x:v>
      </x:c>
      <x:c r="P113" s="20" t="n">
        <x:v>3.5171712260888937</x:v>
      </x:c>
      <x:c r="Q113" s="21" t="n">
        <x:f>O113/P113-1</x:f>
        <x:v>0.000005312249924838142</x:v>
      </x:c>
      <x:c r="R113" s="20" t="n">
        <x:v>1.831416284607351</x:v>
      </x:c>
      <x:c r="S113" s="20" t="n">
        <x:v>1.8314450142940606</x:v>
      </x:c>
      <x:c r="T113" s="21" t="n">
        <x:f>R113/S113-1</x:f>
        <x:v>-0.000015686895585398375</x:v>
      </x:c>
      <x:c r="U113" s="4" t="str">
        <x:v>壳T对照；已有记录回顾，不是新增精度认证</x:v>
      </x:c>
    </x:row>
    <x:row r="114" ht="25" customHeight="1">
      <x:c r="A114" s="4" t="str">
        <x:v>28-NH4</x:v>
      </x:c>
      <x:c r="B114" s="4" t="str">
        <x:v>diverse_28</x:v>
      </x:c>
      <x:c r="C114" s="4" t="str">
        <x:v>28-NH8</x:v>
      </x:c>
      <x:c r="D114" s="4" t="str">
        <x:v>到5%</x:v>
      </x:c>
      <x:c r="E114" s="10" t="n">
        <x:v>0</x:v>
      </x:c>
      <x:c r="F114" s="10" t="n">
        <x:v>5</x:v>
      </x:c>
      <x:c r="G114" s="4" t="str">
        <x:v>否</x:v>
      </x:c>
      <x:c r="H114" s="4" t="str">
        <x:v>是</x:v>
      </x:c>
      <x:c r="I114" s="20" t="n">
        <x:v>4</x:v>
      </x:c>
      <x:c r="J114" s="20" t="n">
        <x:v>8</x:v>
      </x:c>
      <x:c r="K114" s="20" t="n">
        <x:v>0.012227961622048714</x:v>
      </x:c>
      <x:c r="L114" s="20" t="n">
        <x:v>2.397300454739191</x:v>
      </x:c>
      <x:c r="M114" s="21" t="n">
        <x:f>K114/L114</x:f>
        <x:v>0.005100721354253039</x:v>
      </x:c>
      <x:c r="N114" s="21" t="n">
        <x:f>K114/'加载时长与峰位'!$B$4</x:f>
        <x:v>0.005413203143107917</x:v>
      </x:c>
      <x:c r="O114" s="20" t="n">
        <x:v>0.4545499591608387</x:v>
      </x:c>
      <x:c r="P114" s="20" t="n">
        <x:v>0.4485160473686523</x:v>
      </x:c>
      <x:c r="Q114" s="21" t="n">
        <x:f>O114/P114-1</x:f>
        <x:v>0.013453056646659745</x:v>
      </x:c>
      <x:c r="R114" s="20" t="n">
        <x:v>1.702802568494709</x:v>
      </x:c>
      <x:c r="S114" s="20" t="n">
        <x:v>1.6873934004752777</x:v>
      </x:c>
      <x:c r="T114" s="21" t="n">
        <x:f>R114/S114-1</x:f>
        <x:v>0.009131935691517601</x:v>
      </x:c>
      <x:c r="U114" s="4" t="str">
        <x:v>JAX同核T对照；已有记录回顾，不是新增精度认证</x:v>
      </x:c>
    </x:row>
    <x:row r="115" ht="25" customHeight="1">
      <x:c r="A115" s="4" t="str">
        <x:v>28-NH4</x:v>
      </x:c>
      <x:c r="B115" s="4" t="str">
        <x:v>diverse_28</x:v>
      </x:c>
      <x:c r="C115" s="4" t="str">
        <x:v>28-NH8</x:v>
      </x:c>
      <x:c r="D115" s="4" t="str">
        <x:v>到10%</x:v>
      </x:c>
      <x:c r="E115" s="10" t="n">
        <x:v>0</x:v>
      </x:c>
      <x:c r="F115" s="10" t="n">
        <x:v>10</x:v>
      </x:c>
      <x:c r="G115" s="4" t="str">
        <x:v>否</x:v>
      </x:c>
      <x:c r="H115" s="4" t="str">
        <x:v>是</x:v>
      </x:c>
      <x:c r="I115" s="20" t="n">
        <x:v>4</x:v>
      </x:c>
      <x:c r="J115" s="20" t="n">
        <x:v>8</x:v>
      </x:c>
      <x:c r="K115" s="20" t="n">
        <x:v>0.01364494347077764</x:v>
      </x:c>
      <x:c r="L115" s="20" t="n">
        <x:v>2.397300454739191</x:v>
      </x:c>
      <x:c r="M115" s="21" t="n">
        <x:f>K115/L115</x:f>
        <x:v>0.0056917953040901215</x:v>
      </x:c>
      <x:c r="N115" s="21" t="n">
        <x:f>K115/'加载时长与峰位'!$B$4</x:f>
        <x:v>0.006040487627173968</x:v>
      </x:c>
      <x:c r="O115" s="20" t="n">
        <x:v>1.5326760021809307</x:v>
      </x:c>
      <x:c r="P115" s="20" t="n">
        <x:v>1.5196892227108463</x:v>
      </x:c>
      <x:c r="Q115" s="21" t="n">
        <x:f>O115/P115-1</x:f>
        <x:v>0.008545681101112423</x:v>
      </x:c>
      <x:c r="R115" s="20" t="n">
        <x:v>2.3880968769606032</x:v>
      </x:c>
      <x:c r="S115" s="20" t="n">
        <x:v>2.3886668489292853</x:v>
      </x:c>
      <x:c r="T115" s="21" t="n">
        <x:f>R115/S115-1</x:f>
        <x:v>-0.00023861509567046912</x:v>
      </x:c>
      <x:c r="U115" s="4" t="str">
        <x:v>JAX同核T对照；已有记录回顾，不是新增精度认证</x:v>
      </x:c>
    </x:row>
    <x:row r="116" ht="25" customHeight="1">
      <x:c r="A116" s="4" t="str">
        <x:v>28-NH4</x:v>
      </x:c>
      <x:c r="B116" s="4" t="str">
        <x:v>diverse_28</x:v>
      </x:c>
      <x:c r="C116" s="4" t="str">
        <x:v>28-NH8</x:v>
      </x:c>
      <x:c r="D116" s="4" t="str">
        <x:v>到12%</x:v>
      </x:c>
      <x:c r="E116" s="10" t="n">
        <x:v>0</x:v>
      </x:c>
      <x:c r="F116" s="10" t="n">
        <x:v>12</x:v>
      </x:c>
      <x:c r="G116" s="4" t="str">
        <x:v>否</x:v>
      </x:c>
      <x:c r="H116" s="4" t="str">
        <x:v>是</x:v>
      </x:c>
      <x:c r="I116" s="20" t="n">
        <x:v>4</x:v>
      </x:c>
      <x:c r="J116" s="20" t="n">
        <x:v>8</x:v>
      </x:c>
      <x:c r="K116" s="20" t="n">
        <x:v>0.012932186637962119</x:v>
      </x:c>
      <x:c r="L116" s="20" t="n">
        <x:v>2.397300454739191</x:v>
      </x:c>
      <x:c r="M116" s="21" t="n">
        <x:f>K116/L116</x:f>
        <x:v>0.005394478865757796</x:v>
      </x:c>
      <x:c r="N116" s="21" t="n">
        <x:f>K116/'加载时长与峰位'!$B$4</x:f>
        <x:v>0.00572495690775205</x:v>
      </x:c>
      <x:c r="O116" s="20" t="n">
        <x:v>2.009559129907053</x:v>
      </x:c>
      <x:c r="P116" s="20" t="n">
        <x:v>1.998157151921713</x:v>
      </x:c>
      <x:c r="Q116" s="21" t="n">
        <x:f>O116/P116-1</x:f>
        <x:v>0.005706246865705422</x:v>
      </x:c>
      <x:c r="R116" s="20" t="n">
        <x:v>2.368582764291975</x:v>
      </x:c>
      <x:c r="S116" s="20" t="n">
        <x:v>2.379526504145467</x:v>
      </x:c>
      <x:c r="T116" s="21" t="n">
        <x:f>R116/S116-1</x:f>
        <x:v>-0.004599125008452942</x:v>
      </x:c>
      <x:c r="U116" s="4" t="str">
        <x:v>JAX同核T对照；已有记录回顾，不是新增精度认证</x:v>
      </x:c>
    </x:row>
    <x:row r="117" ht="25" customHeight="1">
      <x:c r="A117" s="4" t="str">
        <x:v>28-NH4</x:v>
      </x:c>
      <x:c r="B117" s="4" t="str">
        <x:v>diverse_28</x:v>
      </x:c>
      <x:c r="C117" s="4" t="str">
        <x:v>28-NH8</x:v>
      </x:c>
      <x:c r="D117" s="4" t="str">
        <x:v>到15%</x:v>
      </x:c>
      <x:c r="E117" s="10" t="n">
        <x:v>0</x:v>
      </x:c>
      <x:c r="F117" s="10" t="n">
        <x:v>15</x:v>
      </x:c>
      <x:c r="G117" s="4" t="str">
        <x:v>否</x:v>
      </x:c>
      <x:c r="H117" s="4" t="str">
        <x:v>是</x:v>
      </x:c>
      <x:c r="I117" s="20" t="n">
        <x:v>4</x:v>
      </x:c>
      <x:c r="J117" s="20" t="n">
        <x:v>8</x:v>
      </x:c>
      <x:c r="K117" s="20" t="n">
        <x:v>0.0130413260541579</x:v>
      </x:c>
      <x:c r="L117" s="20" t="n">
        <x:v>2.397300454739191</x:v>
      </x:c>
      <x:c r="M117" s="21" t="n">
        <x:f>K117/L117</x:f>
        <x:v>0.005440004830590457</x:v>
      </x:c>
      <x:c r="N117" s="21" t="n">
        <x:f>K117/'加载时长与峰位'!$B$4</x:f>
        <x:v>0.005773271896713308</x:v>
      </x:c>
      <x:c r="O117" s="20" t="n">
        <x:v>2.702704880886672</x:v>
      </x:c>
      <x:c r="P117" s="20" t="n">
        <x:v>2.6952731148480424</x:v>
      </x:c>
      <x:c r="Q117" s="21" t="n">
        <x:f>O117/P117-1</x:f>
        <x:v>0.0027573331985126792</x:v>
      </x:c>
      <x:c r="R117" s="20" t="n">
        <x:v>2.2386978170482696</x:v>
      </x:c>
      <x:c r="S117" s="20" t="n">
        <x:v>2.255976479347413</x:v>
      </x:c>
      <x:c r="T117" s="21" t="n">
        <x:f>R117/S117-1</x:f>
        <x:v>-0.007659061367581876</x:v>
      </x:c>
      <x:c r="U117" s="4" t="str">
        <x:v>JAX同核T对照；已有记录回顾，不是新增精度认证</x:v>
      </x:c>
    </x:row>
    <x:row r="118" ht="25" customHeight="1">
      <x:c r="A118" s="4" t="str">
        <x:v>28-NH4</x:v>
      </x:c>
      <x:c r="B118" s="4" t="str">
        <x:v>diverse_28</x:v>
      </x:c>
      <x:c r="C118" s="4" t="str">
        <x:v>28-NH8</x:v>
      </x:c>
      <x:c r="D118" s="4" t="str">
        <x:v>到20%</x:v>
      </x:c>
      <x:c r="E118" s="10" t="n">
        <x:v>0</x:v>
      </x:c>
      <x:c r="F118" s="10" t="n">
        <x:v>19.9999999968057</x:v>
      </x:c>
      <x:c r="G118" s="4" t="str">
        <x:v>否</x:v>
      </x:c>
      <x:c r="H118" s="4" t="str">
        <x:v>是</x:v>
      </x:c>
      <x:c r="I118" s="20" t="n">
        <x:v>4</x:v>
      </x:c>
      <x:c r="J118" s="20" t="n">
        <x:v>8</x:v>
      </x:c>
      <x:c r="K118" s="20" t="n">
        <x:v>0.013679741172926778</x:v>
      </x:c>
      <x:c r="L118" s="20" t="n">
        <x:v>2.397300454739191</x:v>
      </x:c>
      <x:c r="M118" s="21" t="n">
        <x:f>K118/L118</x:f>
        <x:v>0.00570631067369277</x:v>
      </x:c>
      <x:c r="N118" s="21" t="n">
        <x:f>K118/'加载时长与峰位'!$B$4</x:f>
        <x:v>0.006055892241325437</x:v>
      </x:c>
      <x:c r="O118" s="20" t="n">
        <x:v>3.7585997074507715</x:v>
      </x:c>
      <x:c r="P118" s="20" t="n">
        <x:v>3.758821742963363</x:v>
      </x:c>
      <x:c r="Q118" s="21" t="n">
        <x:f>O118/P118-1</x:f>
        <x:v>-0.000059070508732439464</x:v>
      </x:c>
      <x:c r="R118" s="20" t="n">
        <x:v>2.0038901844797974</x:v>
      </x:c>
      <x:c r="S118" s="20" t="n">
        <x:v>2.004716670269083</x:v>
      </x:c>
      <x:c r="T118" s="21" t="n">
        <x:f>R118/S118-1</x:f>
        <x:v>-0.00041227062234916456</x:v>
      </x:c>
      <x:c r="U118" s="4" t="str">
        <x:v>JAX同核T对照；已有记录回顾，不是新增精度认证</x:v>
      </x:c>
    </x:row>
    <x:row r="119" ht="25" customHeight="1">
      <x:c r="A119" s="4" t="str">
        <x:v>28-C4</x:v>
      </x:c>
      <x:c r="B119" s="4" t="str">
        <x:v>diverse_28</x:v>
      </x:c>
      <x:c r="C119" s="4" t="str">
        <x:v>28-C8</x:v>
      </x:c>
      <x:c r="D119" s="4" t="str">
        <x:v>到5%</x:v>
      </x:c>
      <x:c r="E119" s="10" t="n">
        <x:v>0</x:v>
      </x:c>
      <x:c r="F119" s="10" t="n">
        <x:v>5</x:v>
      </x:c>
      <x:c r="G119" s="4" t="str">
        <x:v>否</x:v>
      </x:c>
      <x:c r="H119" s="4" t="str">
        <x:v>是</x:v>
      </x:c>
      <x:c r="I119" s="20" t="n">
        <x:v>4</x:v>
      </x:c>
      <x:c r="J119" s="20" t="n">
        <x:v>8</x:v>
      </x:c>
      <x:c r="K119" s="20" t="n">
        <x:v>0.012248350532409458</x:v>
      </x:c>
      <x:c r="L119" s="20" t="n">
        <x:v>2.3842849178512164</x:v>
      </x:c>
      <x:c r="M119" s="21" t="n">
        <x:f>K119/L119</x:f>
        <x:v>0.005137116978220879</x:v>
      </x:c>
      <x:c r="N119" s="21" t="n">
        <x:f>K119/'加载时长与峰位'!$B$4</x:f>
        <x:v>0.00542222912119492</x:v>
      </x:c>
      <x:c r="O119" s="20" t="n">
        <x:v>0.45434254703932764</x:v>
      </x:c>
      <x:c r="P119" s="20" t="n">
        <x:v>0.4482994882537703</x:v>
      </x:c>
      <x:c r="Q119" s="21" t="n">
        <x:f>O119/P119-1</x:f>
        <x:v>0.013479959143153142</x:v>
      </x:c>
      <x:c r="R119" s="20" t="n">
        <x:v>1.70135004433869</x:v>
      </x:c>
      <x:c r="S119" s="20" t="n">
        <x:v>1.6858765900569963</x:v>
      </x:c>
      <x:c r="T119" s="21" t="n">
        <x:f>R119/S119-1</x:f>
        <x:v>0.0091782840884993</x:v>
      </x:c>
      <x:c r="U119" s="4" t="str">
        <x:v>JAX同核T对照；已有记录回顾，不是新增精度认证</x:v>
      </x:c>
    </x:row>
    <x:row r="120" ht="25" customHeight="1">
      <x:c r="A120" s="4" t="str">
        <x:v>28-C4</x:v>
      </x:c>
      <x:c r="B120" s="4" t="str">
        <x:v>diverse_28</x:v>
      </x:c>
      <x:c r="C120" s="4" t="str">
        <x:v>28-C8</x:v>
      </x:c>
      <x:c r="D120" s="4" t="str">
        <x:v>到10%</x:v>
      </x:c>
      <x:c r="E120" s="10" t="n">
        <x:v>0</x:v>
      </x:c>
      <x:c r="F120" s="10" t="n">
        <x:v>10</x:v>
      </x:c>
      <x:c r="G120" s="4" t="str">
        <x:v>否</x:v>
      </x:c>
      <x:c r="H120" s="4" t="str">
        <x:v>是</x:v>
      </x:c>
      <x:c r="I120" s="20" t="n">
        <x:v>4</x:v>
      </x:c>
      <x:c r="J120" s="20" t="n">
        <x:v>8</x:v>
      </x:c>
      <x:c r="K120" s="20" t="n">
        <x:v>0.013701053267105785</x:v>
      </x:c>
      <x:c r="L120" s="20" t="n">
        <x:v>2.3842849178512164</x:v>
      </x:c>
      <x:c r="M120" s="21" t="n">
        <x:f>K120/L120</x:f>
        <x:v>0.00574639933529989</x:v>
      </x:c>
      <x:c r="N120" s="21" t="n">
        <x:f>K120/'加载时长与峰位'!$B$4</x:f>
        <x:v>0.006065326904171287</x:v>
      </x:c>
      <x:c r="O120" s="20" t="n">
        <x:v>1.5298340862645243</x:v>
      </x:c>
      <x:c r="P120" s="20" t="n">
        <x:v>1.5168060953097406</x:v>
      </x:c>
      <x:c r="Q120" s="21" t="n">
        <x:f>O120/P120-1</x:f>
        <x:v>0.008589094542188924</x:v>
      </x:c>
      <x:c r="R120" s="20" t="n">
        <x:v>2.377093064371732</x:v>
      </x:c>
      <x:c r="S120" s="20" t="n">
        <x:v>2.377753705773583</x:v>
      </x:c>
      <x:c r="T120" s="21" t="n">
        <x:f>R120/S120-1</x:f>
        <x:v>-0.0002778426547067614</x:v>
      </x:c>
      <x:c r="U120" s="4" t="str">
        <x:v>JAX同核T对照；已有记录回顾，不是新增精度认证</x:v>
      </x:c>
    </x:row>
    <x:row r="121" ht="25" customHeight="1">
      <x:c r="A121" s="4" t="str">
        <x:v>28-C4</x:v>
      </x:c>
      <x:c r="B121" s="4" t="str">
        <x:v>diverse_28</x:v>
      </x:c>
      <x:c r="C121" s="4" t="str">
        <x:v>28-C8</x:v>
      </x:c>
      <x:c r="D121" s="4" t="str">
        <x:v>到12%</x:v>
      </x:c>
      <x:c r="E121" s="10" t="n">
        <x:v>0</x:v>
      </x:c>
      <x:c r="F121" s="10" t="n">
        <x:v>12</x:v>
      </x:c>
      <x:c r="G121" s="4" t="str">
        <x:v>否</x:v>
      </x:c>
      <x:c r="H121" s="4" t="str">
        <x:v>是</x:v>
      </x:c>
      <x:c r="I121" s="20" t="n">
        <x:v>4</x:v>
      </x:c>
      <x:c r="J121" s="20" t="n">
        <x:v>8</x:v>
      </x:c>
      <x:c r="K121" s="20" t="n">
        <x:v>0.012985800475290727</x:v>
      </x:c>
      <x:c r="L121" s="20" t="n">
        <x:v>2.3842849178512164</x:v>
      </x:c>
      <x:c r="M121" s="21" t="n">
        <x:f>K121/L121</x:f>
        <x:v>0.005446413043200345</x:v>
      </x:c>
      <x:c r="N121" s="21" t="n">
        <x:f>K121/'加载时长与峰位'!$B$4</x:f>
        <x:v>0.005748691247269276</x:v>
      </x:c>
      <x:c r="O121" s="20" t="n">
        <x:v>2.0039126150570796</x:v>
      </x:c>
      <x:c r="P121" s="20" t="n">
        <x:v>1.992480123360021</x:v>
      </x:c>
      <x:c r="Q121" s="21" t="n">
        <x:f>O121/P121-1</x:f>
        <x:v>0.005737819696680191</x:v>
      </x:c>
      <x:c r="R121" s="20" t="n">
        <x:v>2.3513818413749155</x:v>
      </x:c>
      <x:c r="S121" s="20" t="n">
        <x:v>2.3623278586731318</x:v>
      </x:c>
      <x:c r="T121" s="21" t="n">
        <x:f>R121/S121-1</x:f>
        <x:v>-0.00463357245609608</x:v>
      </x:c>
      <x:c r="U121" s="4" t="str">
        <x:v>JAX同核T对照；已有记录回顾，不是新增精度认证</x:v>
      </x:c>
    </x:row>
    <x:row r="122" ht="25" customHeight="1">
      <x:c r="A122" s="4" t="str">
        <x:v>28-C4</x:v>
      </x:c>
      <x:c r="B122" s="4" t="str">
        <x:v>diverse_28</x:v>
      </x:c>
      <x:c r="C122" s="4" t="str">
        <x:v>28-C8</x:v>
      </x:c>
      <x:c r="D122" s="4" t="str">
        <x:v>到15%</x:v>
      </x:c>
      <x:c r="E122" s="10" t="n">
        <x:v>0</x:v>
      </x:c>
      <x:c r="F122" s="10" t="n">
        <x:v>15</x:v>
      </x:c>
      <x:c r="G122" s="4" t="str">
        <x:v>否</x:v>
      </x:c>
      <x:c r="H122" s="4" t="str">
        <x:v>是</x:v>
      </x:c>
      <x:c r="I122" s="20" t="n">
        <x:v>4</x:v>
      </x:c>
      <x:c r="J122" s="20" t="n">
        <x:v>8</x:v>
      </x:c>
      <x:c r="K122" s="20" t="n">
        <x:v>0.013099730083271867</x:v>
      </x:c>
      <x:c r="L122" s="20" t="n">
        <x:v>2.3842849178512164</x:v>
      </x:c>
      <x:c r="M122" s="21" t="n">
        <x:f>K122/L122</x:f>
        <x:v>0.005494196597560038</x:v>
      </x:c>
      <x:c r="N122" s="21" t="n">
        <x:f>K122/'加载时长与峰位'!$B$4</x:f>
        <x:v>0.005799126808900784</x:v>
      </x:c>
      <x:c r="O122" s="20" t="n">
        <x:v>2.6902737623506083</x:v>
      </x:c>
      <x:c r="P122" s="20" t="n">
        <x:v>2.6828339218004302</x:v>
      </x:c>
      <x:c r="Q122" s="21" t="n">
        <x:f>O122/P122-1</x:f>
        <x:v>0.0027731275088340723</x:v>
      </x:c>
      <x:c r="R122" s="20" t="n">
        <x:v>2.21064440965445</x:v>
      </x:c>
      <x:c r="S122" s="20" t="n">
        <x:v>2.227903817385944</x:v>
      </x:c>
      <x:c r="T122" s="21" t="n">
        <x:f>R122/S122-1</x:f>
        <x:v>-0.007746926773411822</x:v>
      </x:c>
      <x:c r="U122" s="4" t="str">
        <x:v>JAX同核T对照；已有记录回顾，不是新增精度认证</x:v>
      </x:c>
    </x:row>
    <x:row r="123" ht="25" customHeight="1">
      <x:c r="A123" s="4" t="str">
        <x:v>28-C4</x:v>
      </x:c>
      <x:c r="B123" s="4" t="str">
        <x:v>diverse_28</x:v>
      </x:c>
      <x:c r="C123" s="4" t="str">
        <x:v>28-C8</x:v>
      </x:c>
      <x:c r="D123" s="4" t="str">
        <x:v>到20%</x:v>
      </x:c>
      <x:c r="E123" s="10" t="n">
        <x:v>0</x:v>
      </x:c>
      <x:c r="F123" s="10" t="n">
        <x:v>19.999999996704318</x:v>
      </x:c>
      <x:c r="G123" s="4" t="str">
        <x:v>否</x:v>
      </x:c>
      <x:c r="H123" s="4" t="str">
        <x:v>是</x:v>
      </x:c>
      <x:c r="I123" s="20" t="n">
        <x:v>4</x:v>
      </x:c>
      <x:c r="J123" s="20" t="n">
        <x:v>8</x:v>
      </x:c>
      <x:c r="K123" s="20" t="n">
        <x:v>0.013726148245571479</x:v>
      </x:c>
      <x:c r="L123" s="20" t="n">
        <x:v>2.3842849178512164</x:v>
      </x:c>
      <x:c r="M123" s="21" t="n">
        <x:f>K123/L123</x:f>
        <x:v>0.00575692449455322</x:v>
      </x:c>
      <x:c r="N123" s="21" t="n">
        <x:f>K123/'加载时长与峰位'!$B$4</x:f>
        <x:v>0.006076436214169592</x:v>
      </x:c>
      <x:c r="O123" s="20" t="n">
        <x:v>3.727314346239405</x:v>
      </x:c>
      <x:c r="P123" s="20" t="n">
        <x:v>3.7275390185042294</x:v>
      </x:c>
      <x:c r="Q123" s="21" t="n">
        <x:f>O123/P123-1</x:f>
        <x:v>-0.00006027361852123381</x:v>
      </x:c>
      <x:c r="R123" s="20" t="n">
        <x:v>1.9564147704501202</x:v>
      </x:c>
      <x:c r="S123" s="20" t="n">
        <x:v>1.9568168047862857</x:v>
      </x:c>
      <x:c r="T123" s="21" t="n">
        <x:f>R123/S123-1</x:f>
        <x:v>-0.00020545323158616124</x:v>
      </x:c>
      <x:c r="U123" s="4" t="str">
        <x:v>JAX同核T对照；已有记录回顾，不是新增精度认证</x:v>
      </x:c>
    </x:row>
    <x:row r="124" ht="25" customHeight="1">
      <x:c r="A124" s="4" t="str">
        <x:v>04-B32</x:v>
      </x:c>
      <x:c r="B124" s="4" t="str">
        <x:v>diverse_04</x:v>
      </x:c>
      <x:c r="C124" s="4" t="str">
        <x:v>04-J18</x:v>
      </x:c>
      <x:c r="D124" s="4" t="str">
        <x:v>到5%</x:v>
      </x:c>
      <x:c r="E124" s="10" t="n">
        <x:v>0</x:v>
      </x:c>
      <x:c r="F124" s="10" t="n">
        <x:v>5</x:v>
      </x:c>
      <x:c r="G124" s="4" t="str">
        <x:v>是</x:v>
      </x:c>
      <x:c r="H124" s="4" t="str">
        <x:v>是</x:v>
      </x:c>
      <x:c r="I124" s="20" t="n">
        <x:v>4</x:v>
      </x:c>
      <x:c r="J124" s="20" t="n">
        <x:v>4</x:v>
      </x:c>
      <x:c r="K124" s="20" t="n">
        <x:v>0.062086639338475406</x:v>
      </x:c>
      <x:c r="L124" s="20" t="n">
        <x:v>7.072391495989786</x:v>
      </x:c>
      <x:c r="M124" s="21" t="n">
        <x:f>K124/L124</x:f>
        <x:v>0.008778733385118741</x:v>
      </x:c>
      <x:c r="N124" s="21" t="n">
        <x:f>K124/'加载时长与峰位'!$B$4</x:f>
        <x:v>0.02748516895947973</x:v>
      </x:c>
      <x:c r="O124" s="20" t="n">
        <x:v>0.5935946524339032</x:v>
      </x:c>
      <x:c r="P124" s="20" t="n">
        <x:v>0.6202132200870137</x:v>
      </x:c>
      <x:c r="Q124" s="21" t="n">
        <x:f>O124/P124-1</x:f>
        <x:v>-0.04291841384705741</x:v>
      </x:c>
      <x:c r="R124" s="20" t="n">
        <x:v>2.360633297534449</x:v>
      </x:c>
      <x:c r="S124" s="20" t="n">
        <x:v>2.4713164461401433</x:v>
      </x:c>
      <x:c r="T124" s="21" t="n">
        <x:f>R124/S124-1</x:f>
        <x:v>-0.04478712096080051</x:v>
      </x:c>
      <x:c r="U124" s="4" t="str">
        <x:v>占据诊断两路径差；已有记录回顾，不是新增精度认证</x:v>
      </x:c>
    </x:row>
    <x:row r="125" ht="25" customHeight="1">
      <x:c r="A125" s="4" t="str">
        <x:v>04-B32</x:v>
      </x:c>
      <x:c r="B125" s="4" t="str">
        <x:v>diverse_04</x:v>
      </x:c>
      <x:c r="C125" s="4" t="str">
        <x:v>04-J18</x:v>
      </x:c>
      <x:c r="D125" s="4" t="str">
        <x:v>到10%</x:v>
      </x:c>
      <x:c r="E125" s="10" t="n">
        <x:v>0</x:v>
      </x:c>
      <x:c r="F125" s="10" t="n">
        <x:v>10</x:v>
      </x:c>
      <x:c r="G125" s="4" t="str">
        <x:v>是</x:v>
      </x:c>
      <x:c r="H125" s="4" t="str">
        <x:v>是</x:v>
      </x:c>
      <x:c r="I125" s="20" t="n">
        <x:v>4</x:v>
      </x:c>
      <x:c r="J125" s="20" t="n">
        <x:v>4</x:v>
      </x:c>
      <x:c r="K125" s="20" t="n">
        <x:v>0.1326069615728102</x:v>
      </x:c>
      <x:c r="L125" s="20" t="n">
        <x:v>7.072391495989786</x:v>
      </x:c>
      <x:c r="M125" s="21" t="n">
        <x:f>K125/L125</x:f>
        <x:v>0.01874994641458996</x:v>
      </x:c>
      <x:c r="N125" s="21" t="n">
        <x:f>K125/'加载时长与峰位'!$B$4</x:f>
        <x:v>0.058703849698839634</x:v>
      </x:c>
      <x:c r="O125" s="20" t="n">
        <x:v>2.3443898699942305</x:v>
      </x:c>
      <x:c r="P125" s="20" t="n">
        <x:v>2.4575779570304817</x:v>
      </x:c>
      <x:c r="Q125" s="21" t="n">
        <x:f>O125/P125-1</x:f>
        <x:v>-0.04605676361657218</x:v>
      </x:c>
      <x:c r="R125" s="20" t="n">
        <x:v>4.613159237415003</x:v>
      </x:c>
      <x:c r="S125" s="20" t="n">
        <x:v>4.849331417702432</x:v>
      </x:c>
      <x:c r="T125" s="21" t="n">
        <x:f>R125/S125-1</x:f>
        <x:v>-0.048702008574890376</x:v>
      </x:c>
      <x:c r="U125" s="4" t="str">
        <x:v>占据诊断两路径差；已有记录回顾，不是新增精度认证</x:v>
      </x:c>
    </x:row>
    <x:row r="126" ht="25" customHeight="1">
      <x:c r="A126" s="4" t="str">
        <x:v>04-B32</x:v>
      </x:c>
      <x:c r="B126" s="4" t="str">
        <x:v>diverse_04</x:v>
      </x:c>
      <x:c r="C126" s="4" t="str">
        <x:v>04-J18</x:v>
      </x:c>
      <x:c r="D126" s="4" t="str">
        <x:v>到12%</x:v>
      </x:c>
      <x:c r="E126" s="10" t="n">
        <x:v>0</x:v>
      </x:c>
      <x:c r="F126" s="10" t="n">
        <x:v>12</x:v>
      </x:c>
      <x:c r="G126" s="4" t="str">
        <x:v>是</x:v>
      </x:c>
      <x:c r="H126" s="4" t="str">
        <x:v>是</x:v>
      </x:c>
      <x:c r="I126" s="20" t="n">
        <x:v>4</x:v>
      </x:c>
      <x:c r="J126" s="20" t="n">
        <x:v>4</x:v>
      </x:c>
      <x:c r="K126" s="20" t="n">
        <x:v>0.16136520434726118</x:v>
      </x:c>
      <x:c r="L126" s="20" t="n">
        <x:v>7.072391495989786</x:v>
      </x:c>
      <x:c r="M126" s="21" t="n">
        <x:f>K126/L126</x:f>
        <x:v>0.022816214916659958</x:v>
      </x:c>
      <x:c r="N126" s="21" t="n">
        <x:f>K126/'加载时长与峰位'!$B$4</x:f>
        <x:v>0.07143485221492672</x:v>
      </x:c>
      <x:c r="O126" s="20" t="n">
        <x:v>3.351168432798067</x:v>
      </x:c>
      <x:c r="P126" s="20" t="n">
        <x:v>3.516546814229927</x:v>
      </x:c>
      <x:c r="Q126" s="21" t="n">
        <x:f>O126/P126-1</x:f>
        <x:v>-0.04702863069038232</x:v>
      </x:c>
      <x:c r="R126" s="20" t="n">
        <x:v>5.445397594889246</x:v>
      </x:c>
      <x:c r="S126" s="20" t="n">
        <x:v>5.729865710807766</x:v>
      </x:c>
      <x:c r="T126" s="21" t="n">
        <x:f>R126/S126-1</x:f>
        <x:v>-0.04964655897291825</x:v>
      </x:c>
      <x:c r="U126" s="4" t="str">
        <x:v>占据诊断两路径差；已有记录回顾，不是新增精度认证</x:v>
      </x:c>
    </x:row>
    <x:row r="127" ht="25" customHeight="1">
      <x:c r="A127" s="4" t="str">
        <x:v>04-B32</x:v>
      </x:c>
      <x:c r="B127" s="4" t="str">
        <x:v>diverse_04</x:v>
      </x:c>
      <x:c r="C127" s="4" t="str">
        <x:v>04-J18</x:v>
      </x:c>
      <x:c r="D127" s="4" t="str">
        <x:v>到15%</x:v>
      </x:c>
      <x:c r="E127" s="10" t="n">
        <x:v>0</x:v>
      </x:c>
      <x:c r="F127" s="10" t="n">
        <x:v>15</x:v>
      </x:c>
      <x:c r="G127" s="4" t="str">
        <x:v>是</x:v>
      </x:c>
      <x:c r="H127" s="4" t="str">
        <x:v>是</x:v>
      </x:c>
      <x:c r="I127" s="20" t="n">
        <x:v>4</x:v>
      </x:c>
      <x:c r="J127" s="20" t="n">
        <x:v>4</x:v>
      </x:c>
      <x:c r="K127" s="20" t="n">
        <x:v>0.2019059907242734</x:v>
      </x:c>
      <x:c r="L127" s="20" t="n">
        <x:v>7.072391495989786</x:v>
      </x:c>
      <x:c r="M127" s="21" t="n">
        <x:f>K127/L127</x:f>
        <x:v>0.02854847484599218</x:v>
      </x:c>
      <x:c r="N127" s="21" t="n">
        <x:f>K127/'加载时长与峰位'!$B$4</x:f>
        <x:v>0.08938187552291621</x:v>
      </x:c>
      <x:c r="O127" s="20" t="n">
        <x:v>5.154729607258899</x:v>
      </x:c>
      <x:c r="P127" s="20" t="n">
        <x:v>5.414678074415108</x:v>
      </x:c>
      <x:c r="Q127" s="21" t="n">
        <x:f>O127/P127-1</x:f>
        <x:v>-0.04800811120877002</x:v>
      </x:c>
      <x:c r="R127" s="20" t="n">
        <x:v>6.523348494632306</x:v>
      </x:c>
      <x:c r="S127" s="20" t="n">
        <x:v>6.871892264355591</x:v>
      </x:c>
      <x:c r="T127" s="21" t="n">
        <x:f>R127/S127-1</x:f>
        <x:v>-0.050720202866272546</x:v>
      </x:c>
      <x:c r="U127" s="4" t="str">
        <x:v>占据诊断两路径差；已有记录回顾，不是新增精度认证</x:v>
      </x:c>
    </x:row>
    <x:row r="128" ht="25" customHeight="1">
      <x:c r="A128" s="4" t="str">
        <x:v>04-B32</x:v>
      </x:c>
      <x:c r="B128" s="4" t="str">
        <x:v>diverse_04</x:v>
      </x:c>
      <x:c r="C128" s="4" t="str">
        <x:v>04-J18</x:v>
      </x:c>
      <x:c r="D128" s="4" t="str">
        <x:v>全部共同覆盖</x:v>
      </x:c>
      <x:c r="E128" s="10" t="n">
        <x:v>0</x:v>
      </x:c>
      <x:c r="F128" s="10" t="n">
        <x:v>17.536302435107093</x:v>
      </x:c>
      <x:c r="G128" s="4" t="str">
        <x:v>是</x:v>
      </x:c>
      <x:c r="H128" s="4" t="str">
        <x:v>是</x:v>
      </x:c>
      <x:c r="I128" s="20" t="n">
        <x:v>4</x:v>
      </x:c>
      <x:c r="J128" s="20" t="n">
        <x:v>4</x:v>
      </x:c>
      <x:c r="K128" s="20" t="n">
        <x:v>0.9921924022406534</x:v>
      </x:c>
      <x:c r="L128" s="20" t="n">
        <x:v>7.072391495989786</x:v>
      </x:c>
      <x:c r="M128" s="21" t="n">
        <x:f>K128/L128</x:f>
        <x:v>0.14029093310279134</x:v>
      </x:c>
      <x:c r="N128" s="21" t="n">
        <x:f>K128/'加载时长与峰位'!$B$4</x:f>
        <x:v>0.43923420733447105</x:v>
      </x:c>
      <x:c r="O128" s="20" t="n">
        <x:v>6.014777830224004</x:v>
      </x:c>
      <x:c r="P128" s="20" t="n">
        <x:v>6.574825190567576</x:v>
      </x:c>
      <x:c r="Q128" s="21" t="n">
        <x:f>O128/P128-1</x:f>
        <x:v>-0.08518057045030358</x:v>
      </x:c>
      <x:c r="R128" s="20" t="n">
        <x:v>3.905269255655305</x:v>
      </x:c>
      <x:c r="S128" s="20" t="n">
        <x:v>1.3936672102323806</x:v>
      </x:c>
      <x:c r="T128" s="21" t="n">
        <x:f>R128/S128-1</x:f>
        <x:v>1.8021533598427268</x:v>
      </x:c>
      <x:c r="U128" s="4" t="str">
        <x:v>占据诊断两路径差；已有记录回顾，不是新增精度认证</x:v>
      </x:c>
    </x:row>
    <x:row r="129" ht="25" customHeight="1">
      <x:c r="A129" s="4" t="str">
        <x:v>04-Support</x:v>
      </x:c>
      <x:c r="B129" s="4" t="str">
        <x:v>diverse_04</x:v>
      </x:c>
      <x:c r="C129" s="4" t="str">
        <x:v>04-J18</x:v>
      </x:c>
      <x:c r="D129" s="4" t="str">
        <x:v>到5%</x:v>
      </x:c>
      <x:c r="E129" s="10" t="n">
        <x:v>0</x:v>
      </x:c>
      <x:c r="F129" s="10" t="n">
        <x:v>5</x:v>
      </x:c>
      <x:c r="G129" s="4" t="str">
        <x:v>是</x:v>
      </x:c>
      <x:c r="H129" s="4" t="str">
        <x:v>是</x:v>
      </x:c>
      <x:c r="I129" s="20" t="n">
        <x:v>4</x:v>
      </x:c>
      <x:c r="J129" s="20" t="n">
        <x:v>4</x:v>
      </x:c>
      <x:c r="K129" s="20" t="n">
        <x:v>0.02088114146059771</x:v>
      </x:c>
      <x:c r="L129" s="20" t="n">
        <x:v>7.072391495989786</x:v>
      </x:c>
      <x:c r="M129" s="21" t="n">
        <x:f>K129/L129</x:f>
        <x:v>0.002952486647895244</x:v>
      </x:c>
      <x:c r="N129" s="21" t="n">
        <x:f>K129/'加载时长与峰位'!$B$4</x:f>
        <x:v>0.0092438841468371</x:v>
      </x:c>
      <x:c r="O129" s="20" t="n">
        <x:v>0.6112315109199047</x:v>
      </x:c>
      <x:c r="P129" s="20" t="n">
        <x:v>0.6202132200870137</x:v>
      </x:c>
      <x:c r="Q129" s="21" t="n">
        <x:f>O129/P129-1</x:f>
        <x:v>-0.014481647401596742</x:v>
      </x:c>
      <x:c r="R129" s="20" t="n">
        <x:v>2.4343841684611407</x:v>
      </x:c>
      <x:c r="S129" s="20" t="n">
        <x:v>2.4713164461401433</x:v>
      </x:c>
      <x:c r="T129" s="21" t="n">
        <x:f>R129/S129-1</x:f>
        <x:v>-0.014944374176235398</x:v>
      </x:c>
      <x:c r="U129" s="4" t="str">
        <x:v>虚域支撑诊断差；已有记录回顾，不是新增精度认证</x:v>
      </x:c>
    </x:row>
    <x:row r="130" ht="25" customHeight="1">
      <x:c r="A130" s="4" t="str">
        <x:v>04-Support</x:v>
      </x:c>
      <x:c r="B130" s="4" t="str">
        <x:v>diverse_04</x:v>
      </x:c>
      <x:c r="C130" s="4" t="str">
        <x:v>04-J18</x:v>
      </x:c>
      <x:c r="D130" s="4" t="str">
        <x:v>到10%</x:v>
      </x:c>
      <x:c r="E130" s="10" t="n">
        <x:v>0</x:v>
      </x:c>
      <x:c r="F130" s="10" t="n">
        <x:v>10</x:v>
      </x:c>
      <x:c r="G130" s="4" t="str">
        <x:v>是</x:v>
      </x:c>
      <x:c r="H130" s="4" t="str">
        <x:v>是</x:v>
      </x:c>
      <x:c r="I130" s="20" t="n">
        <x:v>4</x:v>
      </x:c>
      <x:c r="J130" s="20" t="n">
        <x:v>4</x:v>
      </x:c>
      <x:c r="K130" s="20" t="n">
        <x:v>0.04292491034869248</x:v>
      </x:c>
      <x:c r="L130" s="20" t="n">
        <x:v>7.072391495989786</x:v>
      </x:c>
      <x:c r="M130" s="21" t="n">
        <x:f>K130/L130</x:f>
        <x:v>0.006069362870117121</x:v>
      </x:c>
      <x:c r="N130" s="21" t="n">
        <x:f>K130/'加载时长与峰位'!$B$4</x:f>
        <x:v>0.019002452477294995</x:v>
      </x:c>
      <x:c r="O130" s="20" t="n">
        <x:v>2.4206311588780887</x:v>
      </x:c>
      <x:c r="P130" s="20" t="n">
        <x:v>2.4575779570304817</x:v>
      </x:c>
      <x:c r="Q130" s="21" t="n">
        <x:f>O130/P130-1</x:f>
        <x:v>-0.01503382549745691</x:v>
      </x:c>
      <x:c r="R130" s="20" t="n">
        <x:v>4.774780769230956</x:v>
      </x:c>
      <x:c r="S130" s="20" t="n">
        <x:v>4.849331417702432</x:v>
      </x:c>
      <x:c r="T130" s="21" t="n">
        <x:f>R130/S130-1</x:f>
        <x:v>-0.015373386978528525</x:v>
      </x:c>
      <x:c r="U130" s="4" t="str">
        <x:v>虚域支撑诊断差；已有记录回顾，不是新增精度认证</x:v>
      </x:c>
    </x:row>
    <x:row r="131" ht="25" customHeight="1">
      <x:c r="A131" s="4" t="str">
        <x:v>04-Support</x:v>
      </x:c>
      <x:c r="B131" s="4" t="str">
        <x:v>diverse_04</x:v>
      </x:c>
      <x:c r="C131" s="4" t="str">
        <x:v>04-J18</x:v>
      </x:c>
      <x:c r="D131" s="4" t="str">
        <x:v>到12%</x:v>
      </x:c>
      <x:c r="E131" s="10" t="n">
        <x:v>0</x:v>
      </x:c>
      <x:c r="F131" s="10" t="n">
        <x:v>12</x:v>
      </x:c>
      <x:c r="G131" s="4" t="str">
        <x:v>是</x:v>
      </x:c>
      <x:c r="H131" s="4" t="str">
        <x:v>是</x:v>
      </x:c>
      <x:c r="I131" s="20" t="n">
        <x:v>4</x:v>
      </x:c>
      <x:c r="J131" s="20" t="n">
        <x:v>4</x:v>
      </x:c>
      <x:c r="K131" s="20" t="n">
        <x:v>0.051384096136314006</x:v>
      </x:c>
      <x:c r="L131" s="20" t="n">
        <x:v>7.072391495989786</x:v>
      </x:c>
      <x:c r="M131" s="21" t="n">
        <x:f>K131/L131</x:f>
        <x:v>0.0072654484929814776</x:v>
      </x:c>
      <x:c r="N131" s="21" t="n">
        <x:f>K131/'加载时长与峰位'!$B$4</x:f>
        <x:v>0.022747254146537936</x:v>
      </x:c>
      <x:c r="O131" s="20" t="n">
        <x:v>3.46333388863766</x:v>
      </x:c>
      <x:c r="P131" s="20" t="n">
        <x:v>3.516546814229927</x:v>
      </x:c>
      <x:c r="Q131" s="21" t="n">
        <x:f>O131/P131-1</x:f>
        <x:v>-0.0151321533320522</x:v>
      </x:c>
      <x:c r="R131" s="20" t="n">
        <x:v>5.642606879207706</x:v>
      </x:c>
      <x:c r="S131" s="20" t="n">
        <x:v>5.729865710807766</x:v>
      </x:c>
      <x:c r="T131" s="21" t="n">
        <x:f>R131/S131-1</x:f>
        <x:v>-0.015228774286187963</x:v>
      </x:c>
      <x:c r="U131" s="4" t="str">
        <x:v>虚域支撑诊断差；已有记录回顾，不是新增精度认证</x:v>
      </x:c>
    </x:row>
    <x:row r="132" ht="25" customHeight="1">
      <x:c r="A132" s="4" t="str">
        <x:v>04-Support</x:v>
      </x:c>
      <x:c r="B132" s="4" t="str">
        <x:v>diverse_04</x:v>
      </x:c>
      <x:c r="C132" s="4" t="str">
        <x:v>04-J18</x:v>
      </x:c>
      <x:c r="D132" s="4" t="str">
        <x:v>全部共同覆盖</x:v>
      </x:c>
      <x:c r="E132" s="10" t="n">
        <x:v>0</x:v>
      </x:c>
      <x:c r="F132" s="10" t="n">
        <x:v>13.077724201070815</x:v>
      </x:c>
      <x:c r="G132" s="4" t="str">
        <x:v>是</x:v>
      </x:c>
      <x:c r="H132" s="4" t="str">
        <x:v>是</x:v>
      </x:c>
      <x:c r="I132" s="20" t="n">
        <x:v>4</x:v>
      </x:c>
      <x:c r="J132" s="20" t="n">
        <x:v>4</x:v>
      </x:c>
      <x:c r="K132" s="20" t="n">
        <x:v>0.05556586000956863</x:v>
      </x:c>
      <x:c r="L132" s="20" t="n">
        <x:v>7.072391495989786</x:v>
      </x:c>
      <x:c r="M132" s="21" t="n">
        <x:f>K132/L132</x:f>
        <x:v>0.007856728525432422</x:v>
      </x:c>
      <x:c r="N132" s="21" t="n">
        <x:f>K132/'加载时长与峰位'!$B$4</x:f>
        <x:v>0.024598481525402123</x:v>
      </x:c>
      <x:c r="O132" s="20" t="n">
        <x:v>4.095343314907556</x:v>
      </x:c>
      <x:c r="P132" s="20" t="n">
        <x:v>4.158234999337184</x:v>
      </x:c>
      <x:c r="Q132" s="21" t="n">
        <x:f>O132/P132-1</x:f>
        <x:v>-0.015124610427177165</x:v>
      </x:c>
      <x:c r="R132" s="20" t="n">
        <x:v>6.081961344606114</x:v>
      </x:c>
      <x:c r="S132" s="20" t="n">
        <x:v>6.173799412433038</x:v>
      </x:c>
      <x:c r="T132" s="21" t="n">
        <x:f>R132/S132-1</x:f>
        <x:v>-0.014875453783285697</x:v>
      </x:c>
      <x:c r="U132" s="4" t="str">
        <x:v>虚域支撑诊断差；已有记录回顾，不是新增精度认证</x:v>
      </x:c>
    </x:row>
    <x:row r="133" ht="25" customHeight="1">
      <x:c r="A133" s="4" t="str">
        <x:v>28-Q64</x:v>
      </x:c>
      <x:c r="B133" s="4" t="str">
        <x:v>diverse_28</x:v>
      </x:c>
      <x:c r="C133" s="4" t="str">
        <x:v>28-NH4</x:v>
      </x:c>
      <x:c r="D133" s="4" t="str">
        <x:v>到5%</x:v>
      </x:c>
      <x:c r="E133" s="10" t="n">
        <x:v>0</x:v>
      </x:c>
      <x:c r="F133" s="10" t="n">
        <x:v>5</x:v>
      </x:c>
      <x:c r="G133" s="4" t="str">
        <x:v>是</x:v>
      </x:c>
      <x:c r="H133" s="4" t="str">
        <x:v>是</x:v>
      </x:c>
      <x:c r="I133" s="20" t="n">
        <x:v>4</x:v>
      </x:c>
      <x:c r="J133" s="20" t="n">
        <x:v>4</x:v>
      </x:c>
      <x:c r="K133" s="20" t="n">
        <x:v>0.010808254975632462</x:v>
      </x:c>
      <x:c r="L133" s="20" t="n">
        <x:v>2.390680464085573</x:v>
      </x:c>
      <x:c r="M133" s="21" t="n">
        <x:f>K133/L133</x:f>
        <x:v>0.004520995230438117</x:v>
      </x:c>
      <x:c r="N133" s="21" t="n">
        <x:f>K133/'加载时长与峰位'!$B$4</x:f>
        <x:v>0.004784712416835581</x:v>
      </x:c>
      <x:c r="O133" s="20" t="n">
        <x:v>0.4591256611920708</x:v>
      </x:c>
      <x:c r="P133" s="20" t="n">
        <x:v>0.4545499591608387</x:v>
      </x:c>
      <x:c r="Q133" s="21" t="n">
        <x:f>O133/P133-1</x:f>
        <x:v>0.010066444708694888</x:v>
      </x:c>
      <x:c r="R133" s="20" t="n">
        <x:v>1.7231125323181165</x:v>
      </x:c>
      <x:c r="S133" s="20" t="n">
        <x:v>1.702802568494709</x:v>
      </x:c>
      <x:c r="T133" s="21" t="n">
        <x:f>R133/S133-1</x:f>
        <x:v>0.01192737443505365</x:v>
      </x:c>
      <x:c r="U133" s="4" t="str">
        <x:v>积分及对应质量诊断差；已有记录回顾，不是新增精度认证</x:v>
      </x:c>
    </x:row>
    <x:row r="134" ht="25" customHeight="1">
      <x:c r="A134" s="4" t="str">
        <x:v>28-Q64</x:v>
      </x:c>
      <x:c r="B134" s="4" t="str">
        <x:v>diverse_28</x:v>
      </x:c>
      <x:c r="C134" s="4" t="str">
        <x:v>28-NH4</x:v>
      </x:c>
      <x:c r="D134" s="4" t="str">
        <x:v>到10%</x:v>
      </x:c>
      <x:c r="E134" s="10" t="n">
        <x:v>0</x:v>
      </x:c>
      <x:c r="F134" s="10" t="n">
        <x:v>10</x:v>
      </x:c>
      <x:c r="G134" s="4" t="str">
        <x:v>是</x:v>
      </x:c>
      <x:c r="H134" s="4" t="str">
        <x:v>是</x:v>
      </x:c>
      <x:c r="I134" s="20" t="n">
        <x:v>4</x:v>
      </x:c>
      <x:c r="J134" s="20" t="n">
        <x:v>4</x:v>
      </x:c>
      <x:c r="K134" s="20" t="n">
        <x:v>0.030186240385590753</x:v>
      </x:c>
      <x:c r="L134" s="20" t="n">
        <x:v>2.390680464085573</x:v>
      </x:c>
      <x:c r="M134" s="21" t="n">
        <x:f>K134/L134</x:f>
        <x:v>0.012626631136644554</x:v>
      </x:c>
      <x:c r="N134" s="21" t="n">
        <x:f>K134/'加载时长与峰位'!$B$4</x:f>
        <x:v>0.013363163574152084</x:v>
      </x:c>
      <x:c r="O134" s="20" t="n">
        <x:v>1.556922136332599</x:v>
      </x:c>
      <x:c r="P134" s="20" t="n">
        <x:v>1.5326760021809307</x:v>
      </x:c>
      <x:c r="Q134" s="21" t="n">
        <x:f>O134/P134-1</x:f>
        <x:v>0.015819477904767343</x:v>
      </x:c>
      <x:c r="R134" s="20" t="n">
        <x:v>2.4496583664946723</x:v>
      </x:c>
      <x:c r="S134" s="20" t="n">
        <x:v>2.3880968769606032</x:v>
      </x:c>
      <x:c r="T134" s="21" t="n">
        <x:f>R134/S134-1</x:f>
        <x:v>0.025778472443052758</x:v>
      </x:c>
      <x:c r="U134" s="4" t="str">
        <x:v>积分及对应质量诊断差；已有记录回顾，不是新增精度认证</x:v>
      </x:c>
    </x:row>
    <x:row r="135" ht="25" customHeight="1">
      <x:c r="A135" s="4" t="str">
        <x:v>28-Q64</x:v>
      </x:c>
      <x:c r="B135" s="4" t="str">
        <x:v>diverse_28</x:v>
      </x:c>
      <x:c r="C135" s="4" t="str">
        <x:v>28-NH4</x:v>
      </x:c>
      <x:c r="D135" s="4" t="str">
        <x:v>到12%</x:v>
      </x:c>
      <x:c r="E135" s="10" t="n">
        <x:v>0</x:v>
      </x:c>
      <x:c r="F135" s="10" t="n">
        <x:v>12</x:v>
      </x:c>
      <x:c r="G135" s="4" t="str">
        <x:v>是</x:v>
      </x:c>
      <x:c r="H135" s="4" t="str">
        <x:v>是</x:v>
      </x:c>
      <x:c r="I135" s="20" t="n">
        <x:v>4</x:v>
      </x:c>
      <x:c r="J135" s="20" t="n">
        <x:v>4</x:v>
      </x:c>
      <x:c r="K135" s="20" t="n">
        <x:v>0.03883073883858238</x:v>
      </x:c>
      <x:c r="L135" s="20" t="n">
        <x:v>2.390680464085573</x:v>
      </x:c>
      <x:c r="M135" s="21" t="n">
        <x:f>K135/L135</x:f>
        <x:v>0.016242546597893</x:v>
      </x:c>
      <x:c r="N135" s="21" t="n">
        <x:f>K135/'加载时长与峰位'!$B$4</x:f>
        <x:v>0.01719000141047216</x:v>
      </x:c>
      <x:c r="O135" s="20" t="n">
        <x:v>2.0471968829612672</x:v>
      </x:c>
      <x:c r="P135" s="20" t="n">
        <x:v>2.009559129907053</x:v>
      </x:c>
      <x:c r="Q135" s="21" t="n">
        <x:f>O135/P135-1</x:f>
        <x:v>0.01872935834237177</x:v>
      </x:c>
      <x:c r="R135" s="20" t="n">
        <x:v>2.439349519148989</x:v>
      </x:c>
      <x:c r="S135" s="20" t="n">
        <x:v>2.368582764291975</x:v>
      </x:c>
      <x:c r="T135" s="21" t="n">
        <x:f>R135/S135-1</x:f>
        <x:v>0.029877256528195728</x:v>
      </x:c>
      <x:c r="U135" s="4" t="str">
        <x:v>积分及对应质量诊断差；已有记录回顾，不是新增精度认证</x:v>
      </x:c>
    </x:row>
    <x:row r="136" ht="25" customHeight="1">
      <x:c r="A136" s="4" t="str">
        <x:v>28-Q64</x:v>
      </x:c>
      <x:c r="B136" s="4" t="str">
        <x:v>diverse_28</x:v>
      </x:c>
      <x:c r="C136" s="4" t="str">
        <x:v>28-NH4</x:v>
      </x:c>
      <x:c r="D136" s="4" t="str">
        <x:v>到15%</x:v>
      </x:c>
      <x:c r="E136" s="10" t="n">
        <x:v>0</x:v>
      </x:c>
      <x:c r="F136" s="10" t="n">
        <x:v>15</x:v>
      </x:c>
      <x:c r="G136" s="4" t="str">
        <x:v>是</x:v>
      </x:c>
      <x:c r="H136" s="4" t="str">
        <x:v>是</x:v>
      </x:c>
      <x:c r="I136" s="20" t="n">
        <x:v>4</x:v>
      </x:c>
      <x:c r="J136" s="20" t="n">
        <x:v>4</x:v>
      </x:c>
      <x:c r="K136" s="20" t="n">
        <x:v>0.04795085334932398</x:v>
      </x:c>
      <x:c r="L136" s="20" t="n">
        <x:v>2.390680464085573</x:v>
      </x:c>
      <x:c r="M136" s="21" t="n">
        <x:f>K136/L136</x:f>
        <x:v>0.020057407951281775</x:v>
      </x:c>
      <x:c r="N136" s="21" t="n">
        <x:f>K136/'加载时长与峰位'!$B$4</x:f>
        <x:v>0.02122738998438061</x:v>
      </x:c>
      <x:c r="O136" s="20" t="n">
        <x:v>2.7625184748648923</x:v>
      </x:c>
      <x:c r="P136" s="20" t="n">
        <x:v>2.702704880886672</x:v>
      </x:c>
      <x:c r="Q136" s="21" t="n">
        <x:f>O136/P136-1</x:f>
        <x:v>0.022131011935937916</x:v>
      </x:c>
      <x:c r="R136" s="20" t="n">
        <x:v>2.313300334352187</x:v>
      </x:c>
      <x:c r="S136" s="20" t="n">
        <x:v>2.2386978170482696</x:v>
      </x:c>
      <x:c r="T136" s="21" t="n">
        <x:f>R136/S136-1</x:f>
        <x:v>0.03332406756097228</x:v>
      </x:c>
      <x:c r="U136" s="4" t="str">
        <x:v>积分及对应质量诊断差；已有记录回顾，不是新增精度认证</x:v>
      </x:c>
    </x:row>
    <x:row r="137" ht="25" customHeight="1">
      <x:c r="A137" s="4" t="str">
        <x:v>28-Q64</x:v>
      </x:c>
      <x:c r="B137" s="4" t="str">
        <x:v>diverse_28</x:v>
      </x:c>
      <x:c r="C137" s="4" t="str">
        <x:v>28-NH4</x:v>
      </x:c>
      <x:c r="D137" s="4" t="str">
        <x:v>到20%</x:v>
      </x:c>
      <x:c r="E137" s="10" t="n">
        <x:v>0</x:v>
      </x:c>
      <x:c r="F137" s="10" t="n">
        <x:v>19.9999999968057</x:v>
      </x:c>
      <x:c r="G137" s="4" t="str">
        <x:v>是</x:v>
      </x:c>
      <x:c r="H137" s="4" t="str">
        <x:v>是</x:v>
      </x:c>
      <x:c r="I137" s="20" t="n">
        <x:v>4</x:v>
      </x:c>
      <x:c r="J137" s="20" t="n">
        <x:v>4</x:v>
      </x:c>
      <x:c r="K137" s="20" t="n">
        <x:v>0.055200945022144635</x:v>
      </x:c>
      <x:c r="L137" s="20" t="n">
        <x:v>2.390680464085573</x:v>
      </x:c>
      <x:c r="M137" s="21" t="n">
        <x:f>K137/L137</x:f>
        <x:v>0.02309005567720603</x:v>
      </x:c>
      <x:c r="N137" s="21" t="n">
        <x:f>K137/'加载时长与峰位'!$B$4</x:f>
        <x:v>0.02443693710631195</x:v>
      </x:c>
      <x:c r="O137" s="20" t="n">
        <x:v>3.8547827833863115</x:v>
      </x:c>
      <x:c r="P137" s="20" t="n">
        <x:v>3.7585997074507715</x:v>
      </x:c>
      <x:c r="Q137" s="21" t="n">
        <x:f>O137/P137-1</x:f>
        <x:v>0.025590135535016767</x:v>
      </x:c>
      <x:c r="R137" s="20" t="n">
        <x:v>2.0734225014976597</x:v>
      </x:c>
      <x:c r="S137" s="20" t="n">
        <x:v>2.0038901844797974</x:v>
      </x:c>
      <x:c r="T137" s="21" t="n">
        <x:f>R137/S137-1</x:f>
        <x:v>0.03469866640217756</x:v>
      </x:c>
      <x:c r="U137" s="4" t="str">
        <x:v>积分及对应质量诊断差；已有记录回顾，不是新增精度认证</x:v>
      </x:c>
    </x:row>
  </x:sheetData>
  <x:pageMargins left="0.7" right="0.7" top="0.75" bottom="0.75" header="0.3" footer="0.3"/>
  <x:tableParts count="1">
    <x:tablePart xmlns:r="http://schemas.openxmlformats.org/officeDocument/2006/relationships" r:id="R05a9884c573f422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  <x:col min="9" max="9" width="28" hidden="0" customWidth="1"/>
    <x:col min="10" max="10" width="10" hidden="0" customWidth="1"/>
    <x:col min="11" max="11" width="30" hidden="0" customWidth="1"/>
  </x:cols>
  <x:sheetData>
    <x:row r="2">
      <x:c r="A2" s="1" t="str">
        <x:v>固定压缩量和已有局部记录的反力差</x:v>
      </x:c>
    </x:row>
    <x:row r="6" ht="40" customHeight="1">
      <x:c r="A6" s="8" t="str">
        <x:v>曲线ID</x:v>
      </x:c>
      <x:c r="B6" s="8" t="str">
        <x:v>构型</x:v>
      </x:c>
      <x:c r="C6" s="8" t="str">
        <x:v>参考ID</x:v>
      </x:c>
      <x:c r="D6" s="8" t="str">
        <x:v>压缩量 (%)</x:v>
      </x:c>
      <x:c r="E6" s="8" t="str">
        <x:v>本力 (N)</x:v>
      </x:c>
      <x:c r="F6" s="8" t="str">
        <x:v>参考力 (N)</x:v>
      </x:c>
      <x:c r="G6" s="8" t="str">
        <x:v>差值 (N)</x:v>
      </x:c>
      <x:c r="H6" s="8" t="str">
        <x:v>定点相对力差 (%)</x:v>
      </x:c>
      <x:c r="I6" s="8" t="str">
        <x:v>差值/参考加载最大力 (%)</x:v>
      </x:c>
      <x:c r="J6" s="8" t="str">
        <x:v>同T</x:v>
      </x:c>
      <x:c r="K6" s="8" t="str">
        <x:v>数据类型</x:v>
      </x:c>
    </x:row>
    <x:row r="7" ht="25" customHeight="1">
      <x:c r="A7" s="4" t="str">
        <x:v>04-B32</x:v>
      </x:c>
      <x:c r="B7" s="4" t="str">
        <x:v>diverse_04</x:v>
      </x:c>
      <x:c r="C7" s="4" t="str">
        <x:v>04-S4</x:v>
      </x:c>
      <x:c r="D7" s="20" t="n">
        <x:v>1</x:v>
      </x:c>
      <x:c r="E7" s="20" t="n">
        <x:v>0.48048238455448977</x:v>
      </x:c>
      <x:c r="F7" s="20" t="n">
        <x:v>0.474663133142886</x:v>
      </x:c>
      <x:c r="G7" s="20" t="n">
        <x:f>E7-F7</x:f>
        <x:v>0.005819251411603776</x:v>
      </x:c>
      <x:c r="H7" s="21" t="n">
        <x:f>E7/F7-1</x:f>
        <x:v>0.012259750137055603</x:v>
      </x:c>
      <x:c r="I7" s="21" t="n">
        <x:v>0.0011126701060119623</x:v>
      </x:c>
      <x:c r="J7" s="4" t="str">
        <x:v>是</x:v>
      </x:c>
      <x:c r="K7" s="4" t="str">
        <x:v>固定压缩量插值</x:v>
      </x:c>
    </x:row>
    <x:row r="8" ht="25" customHeight="1">
      <x:c r="A8" s="4" t="str">
        <x:v>04-B32</x:v>
      </x:c>
      <x:c r="B8" s="4" t="str">
        <x:v>diverse_04</x:v>
      </x:c>
      <x:c r="C8" s="4" t="str">
        <x:v>04-S4</x:v>
      </x:c>
      <x:c r="D8" s="20" t="n">
        <x:v>5</x:v>
      </x:c>
      <x:c r="E8" s="20" t="n">
        <x:v>2.360633297534449</x:v>
      </x:c>
      <x:c r="F8" s="20" t="n">
        <x:v>2.325966645911184</x:v>
      </x:c>
      <x:c r="G8" s="20" t="n">
        <x:f>E8-F8</x:f>
        <x:v>0.03466665162326521</x:v>
      </x:c>
      <x:c r="H8" s="21" t="n">
        <x:f>E8/F8-1</x:f>
        <x:v>0.014904191203345851</x:v>
      </x:c>
      <x:c r="I8" s="21" t="n">
        <x:v>0.006628437956783128</x:v>
      </x:c>
      <x:c r="J8" s="4" t="str">
        <x:v>是</x:v>
      </x:c>
      <x:c r="K8" s="4" t="str">
        <x:v>固定压缩量插值</x:v>
      </x:c>
    </x:row>
    <x:row r="9" ht="25" customHeight="1">
      <x:c r="A9" s="4" t="str">
        <x:v>04-B32</x:v>
      </x:c>
      <x:c r="B9" s="4" t="str">
        <x:v>diverse_04</x:v>
      </x:c>
      <x:c r="C9" s="4" t="str">
        <x:v>04-S4</x:v>
      </x:c>
      <x:c r="D9" s="20" t="n">
        <x:v>10</x:v>
      </x:c>
      <x:c r="E9" s="20" t="n">
        <x:v>4.613159237415003</x:v>
      </x:c>
      <x:c r="F9" s="20" t="n">
        <x:v>4.536357579674203</x:v>
      </x:c>
      <x:c r="G9" s="20" t="n">
        <x:f>E9-F9</x:f>
        <x:v>0.07680165774080017</x:v>
      </x:c>
      <x:c r="H9" s="21" t="n">
        <x:f>E9/F9-1</x:f>
        <x:v>0.016930247757566796</x:v>
      </x:c>
      <x:c r="I9" s="21" t="n">
        <x:v>0.014684862814132879</x:v>
      </x:c>
      <x:c r="J9" s="4" t="str">
        <x:v>是</x:v>
      </x:c>
      <x:c r="K9" s="4" t="str">
        <x:v>固定压缩量插值</x:v>
      </x:c>
    </x:row>
    <x:row r="10" ht="25" customHeight="1">
      <x:c r="A10" s="4" t="str">
        <x:v>04-B32</x:v>
      </x:c>
      <x:c r="B10" s="4" t="str">
        <x:v>diverse_04</x:v>
      </x:c>
      <x:c r="C10" s="4" t="str">
        <x:v>04-S4</x:v>
      </x:c>
      <x:c r="D10" s="20" t="n">
        <x:v>12</x:v>
      </x:c>
      <x:c r="E10" s="20" t="n">
        <x:v>5.445397594889246</x:v>
      </x:c>
      <x:c r="F10" s="20" t="n">
        <x:v>5.055781124276235</x:v>
      </x:c>
      <x:c r="G10" s="20" t="n">
        <x:f>E10-F10</x:f>
        <x:v>0.38961647061301097</x:v>
      </x:c>
      <x:c r="H10" s="21" t="n">
        <x:f>E10/F10-1</x:f>
        <x:v>0.07706355576632817</x:v>
      </x:c>
      <x:c r="I10" s="21" t="n">
        <x:v>0.07449662662736023</x:v>
      </x:c>
      <x:c r="J10" s="4" t="str">
        <x:v>是</x:v>
      </x:c>
      <x:c r="K10" s="4" t="str">
        <x:v>固定压缩量插值</x:v>
      </x:c>
    </x:row>
    <x:row r="11" ht="25" customHeight="1">
      <x:c r="A11" s="4" t="str">
        <x:v>04-B32</x:v>
      </x:c>
      <x:c r="B11" s="4" t="str">
        <x:v>diverse_04</x:v>
      </x:c>
      <x:c r="C11" s="4" t="str">
        <x:v>04-S4</x:v>
      </x:c>
      <x:c r="D11" s="20" t="n">
        <x:v>14.000000000000002</x:v>
      </x:c>
      <x:c r="E11" s="20" t="n">
        <x:v>6.203579353090664</x:v>
      </x:c>
      <x:c r="F11" s="20" t="n">
        <x:v>1.8337604214463437</x:v>
      </x:c>
      <x:c r="G11" s="20" t="n">
        <x:f>E11-F11</x:f>
        <x:v>4.36981893164432</x:v>
      </x:c>
      <x:c r="H11" s="21" t="n">
        <x:f>E11/F11-1</x:f>
        <x:v>2.382982466268799</x:v>
      </x:c>
      <x:c r="I11" s="21" t="n">
        <x:v>0.8355313338465574</x:v>
      </x:c>
      <x:c r="J11" s="4" t="str">
        <x:v>是</x:v>
      </x:c>
      <x:c r="K11" s="4" t="str">
        <x:v>固定压缩量插值</x:v>
      </x:c>
    </x:row>
    <x:row r="12" ht="25" customHeight="1">
      <x:c r="A12" s="4" t="str">
        <x:v>04-B32</x:v>
      </x:c>
      <x:c r="B12" s="4" t="str">
        <x:v>diverse_04</x:v>
      </x:c>
      <x:c r="C12" s="4" t="str">
        <x:v>04-S4</x:v>
      </x:c>
      <x:c r="D12" s="20" t="n">
        <x:v>15</x:v>
      </x:c>
      <x:c r="E12" s="20" t="n">
        <x:v>6.523348494632306</x:v>
      </x:c>
      <x:c r="F12" s="20" t="n">
        <x:v>1.6683822019690941</x:v>
      </x:c>
      <x:c r="G12" s="20" t="n">
        <x:f>E12-F12</x:f>
        <x:v>4.854966292663212</x:v>
      </x:c>
      <x:c r="H12" s="21" t="n">
        <x:f>E12/F12-1</x:f>
        <x:v>2.9099844669483876</x:v>
      </x:c>
      <x:c r="I12" s="21" t="n">
        <x:v>0.928293946669904</x:v>
      </x:c>
      <x:c r="J12" s="4" t="str">
        <x:v>是</x:v>
      </x:c>
      <x:c r="K12" s="4" t="str">
        <x:v>固定压缩量插值</x:v>
      </x:c>
    </x:row>
    <x:row r="13" ht="25" customHeight="1">
      <x:c r="A13" s="4" t="str">
        <x:v>04-B32</x:v>
      </x:c>
      <x:c r="B13" s="4" t="str">
        <x:v>diverse_04</x:v>
      </x:c>
      <x:c r="C13" s="4" t="str">
        <x:v>04-S4</x:v>
      </x:c>
      <x:c r="D13" s="20" t="n">
        <x:v>16</x:v>
      </x:c>
      <x:c r="E13" s="20" t="n">
        <x:v>2.9108284865915737</x:v>
      </x:c>
      <x:c r="F13" s="20" t="n">
        <x:v>1.2196661373368218</x:v>
      </x:c>
      <x:c r="G13" s="20" t="n">
        <x:f>E13-F13</x:f>
        <x:v>1.6911623492547518</x:v>
      </x:c>
      <x:c r="H13" s="21" t="n">
        <x:f>E13/F13-1</x:f>
        <x:v>1.3865780950084066</x:v>
      </x:c>
      <x:c r="I13" s="21" t="n">
        <x:v>0.3233587376335969</x:v>
      </x:c>
      <x:c r="J13" s="4" t="str">
        <x:v>是</x:v>
      </x:c>
      <x:c r="K13" s="4" t="str">
        <x:v>固定压缩量插值</x:v>
      </x:c>
    </x:row>
    <x:row r="14" ht="25" customHeight="1">
      <x:c r="A14" s="4" t="str">
        <x:v>04-B32</x:v>
      </x:c>
      <x:c r="B14" s="4" t="str">
        <x:v>diverse_04</x:v>
      </x:c>
      <x:c r="C14" s="4" t="str">
        <x:v>04-S4</x:v>
      </x:c>
      <x:c r="D14" s="20" t="n">
        <x:v>18</x:v>
      </x:c>
      <x:c r="E14" s="20" t="n">
        <x:v>0.6977627243405675</x:v>
      </x:c>
      <x:c r="F14" s="20" t="n">
        <x:v>1.2111826843657911</x:v>
      </x:c>
      <x:c r="G14" s="20" t="n">
        <x:f>E14-F14</x:f>
        <x:v>-0.5134199600252236</x:v>
      </x:c>
      <x:c r="H14" s="21" t="n">
        <x:f>E14/F14-1</x:f>
        <x:v>-0.4238996863582677</x:v>
      </x:c>
      <x:c r="I14" s="21" t="n">
        <x:v>-0.09816847579583826</x:v>
      </x:c>
      <x:c r="J14" s="4" t="str">
        <x:v>是</x:v>
      </x:c>
      <x:c r="K14" s="4" t="str">
        <x:v>固定压缩量插值</x:v>
      </x:c>
    </x:row>
    <x:row r="15" ht="25" customHeight="1">
      <x:c r="A15" s="4" t="str">
        <x:v>04-B32</x:v>
      </x:c>
      <x:c r="B15" s="4" t="str">
        <x:v>diverse_04</x:v>
      </x:c>
      <x:c r="C15" s="4" t="str">
        <x:v>04-S4</x:v>
      </x:c>
      <x:c r="D15" s="20" t="n">
        <x:v>20</x:v>
      </x:c>
      <x:c r="E15" s="20" t="n">
        <x:v>2.5392151114903108</x:v>
      </x:c>
      <x:c r="F15" s="20" t="n">
        <x:v>1.5718765918861466</x:v>
      </x:c>
      <x:c r="G15" s="20" t="n">
        <x:f>E15-F15</x:f>
        <x:v>0.9673385196041642</x:v>
      </x:c>
      <x:c r="H15" s="21" t="n">
        <x:f>E15/F15-1</x:f>
        <x:v>0.6154036039454107</x:v>
      </x:c>
      <x:c r="I15" s="21" t="n">
        <x:v>0.18495998488932539</x:v>
      </x:c>
      <x:c r="J15" s="4" t="str">
        <x:v>是</x:v>
      </x:c>
      <x:c r="K15" s="4" t="str">
        <x:v>固定压缩量插值</x:v>
      </x:c>
    </x:row>
    <x:row r="16" ht="25" customHeight="1">
      <x:c r="A16" s="4" t="str">
        <x:v>04-B64</x:v>
      </x:c>
      <x:c r="B16" s="4" t="str">
        <x:v>diverse_04</x:v>
      </x:c>
      <x:c r="C16" s="4" t="str">
        <x:v>04-S1</x:v>
      </x:c>
      <x:c r="D16" s="20" t="n">
        <x:v>1</x:v>
      </x:c>
      <x:c r="E16" s="20" t="n">
        <x:v>0.6200194645050988</x:v>
      </x:c>
      <x:c r="F16" s="20" t="n">
        <x:v>0.6181242218066805</x:v>
      </x:c>
      <x:c r="G16" s="20" t="n">
        <x:f>E16-F16</x:f>
        <x:v>0.0018952426984183424</x:v>
      </x:c>
      <x:c r="H16" s="21" t="n">
        <x:f>E16/F16-1</x:f>
        <x:v>0.0030661194490628763</x:v>
      </x:c>
      <x:c r="I16" s="21" t="n">
        <x:v>0.00034466864921563304</x:v>
      </x:c>
      <x:c r="J16" s="4" t="str">
        <x:v>是</x:v>
      </x:c>
      <x:c r="K16" s="4" t="str">
        <x:v>固定压缩量插值</x:v>
      </x:c>
    </x:row>
    <x:row r="17" ht="25" customHeight="1">
      <x:c r="A17" s="4" t="str">
        <x:v>04-B64</x:v>
      </x:c>
      <x:c r="B17" s="4" t="str">
        <x:v>diverse_04</x:v>
      </x:c>
      <x:c r="C17" s="4" t="str">
        <x:v>04-S1</x:v>
      </x:c>
      <x:c r="D17" s="20" t="n">
        <x:v>5</x:v>
      </x:c>
      <x:c r="E17" s="20" t="n">
        <x:v>2.5029756698651022</x:v>
      </x:c>
      <x:c r="F17" s="20" t="n">
        <x:v>2.4202900273798575</x:v>
      </x:c>
      <x:c r="G17" s="20" t="n">
        <x:f>E17-F17</x:f>
        <x:v>0.08268564248524468</x:v>
      </x:c>
      <x:c r="H17" s="21" t="n">
        <x:f>E17/F17-1</x:f>
        <x:v>0.03416352649882959</x:v>
      </x:c>
      <x:c r="I17" s="21" t="n">
        <x:v>0.01503720274384898</x:v>
      </x:c>
      <x:c r="J17" s="4" t="str">
        <x:v>是</x:v>
      </x:c>
      <x:c r="K17" s="4" t="str">
        <x:v>固定压缩量插值</x:v>
      </x:c>
    </x:row>
    <x:row r="18" ht="25" customHeight="1">
      <x:c r="A18" s="4" t="str">
        <x:v>04-B64</x:v>
      </x:c>
      <x:c r="B18" s="4" t="str">
        <x:v>diverse_04</x:v>
      </x:c>
      <x:c r="C18" s="4" t="str">
        <x:v>04-S1</x:v>
      </x:c>
      <x:c r="D18" s="20" t="n">
        <x:v>10</x:v>
      </x:c>
      <x:c r="E18" s="20" t="n">
        <x:v>4.729696669198833</x:v>
      </x:c>
      <x:c r="F18" s="20" t="n">
        <x:v>4.537383544636678</x:v>
      </x:c>
      <x:c r="G18" s="20" t="n">
        <x:f>E18-F18</x:f>
        <x:v>0.19231312456215477</x:v>
      </x:c>
      <x:c r="H18" s="21" t="n">
        <x:f>E18/F18-1</x:f>
        <x:v>0.042384145547817775</x:v>
      </x:c>
      <x:c r="I18" s="21" t="n">
        <x:v>0.034974045764477886</x:v>
      </x:c>
      <x:c r="J18" s="4" t="str">
        <x:v>是</x:v>
      </x:c>
      <x:c r="K18" s="4" t="str">
        <x:v>固定压缩量插值</x:v>
      </x:c>
    </x:row>
    <x:row r="19" ht="25" customHeight="1">
      <x:c r="A19" s="4" t="str">
        <x:v>04-B64</x:v>
      </x:c>
      <x:c r="B19" s="4" t="str">
        <x:v>diverse_04</x:v>
      </x:c>
      <x:c r="C19" s="4" t="str">
        <x:v>04-S1</x:v>
      </x:c>
      <x:c r="D19" s="20" t="n">
        <x:v>12</x:v>
      </x:c>
      <x:c r="E19" s="20" t="n">
        <x:v>5.557638351409316</x:v>
      </x:c>
      <x:c r="F19" s="20" t="n">
        <x:v>5.309324456416128</x:v>
      </x:c>
      <x:c r="G19" s="20" t="n">
        <x:f>E19-F19</x:f>
        <x:v>0.24831389499318757</x:v>
      </x:c>
      <x:c r="H19" s="21" t="n">
        <x:f>E19/F19-1</x:f>
        <x:v>0.04676939543468839</x:v>
      </x:c>
      <x:c r="I19" s="21" t="n">
        <x:v>0.04515834032242917</x:v>
      </x:c>
      <x:c r="J19" s="4" t="str">
        <x:v>是</x:v>
      </x:c>
      <x:c r="K19" s="4" t="str">
        <x:v>固定压缩量插值</x:v>
      </x:c>
    </x:row>
    <x:row r="20" ht="25" customHeight="1">
      <x:c r="A20" s="4" t="str">
        <x:v>28-Q64</x:v>
      </x:c>
      <x:c r="B20" s="4" t="str">
        <x:v>diverse_28</x:v>
      </x:c>
      <x:c r="C20" s="4" t="str">
        <x:v>28-S40</x:v>
      </x:c>
      <x:c r="D20" s="20" t="n">
        <x:v>1</x:v>
      </x:c>
      <x:c r="E20" s="20" t="n">
        <x:v>0.39892940977575037</x:v>
      </x:c>
      <x:c r="F20" s="20" t="n">
        <x:v>0.36943723478252233</x:v>
      </x:c>
      <x:c r="G20" s="20" t="n">
        <x:f>E20-F20</x:f>
        <x:v>0.029492174993228037</x:v>
      </x:c>
      <x:c r="H20" s="21" t="n">
        <x:f>E20/F20-1</x:f>
        <x:v>0.07983000146314234</x:v>
      </x:c>
      <x:c r="I20" s="21" t="n">
        <x:v>0.01314805755963741</x:v>
      </x:c>
      <x:c r="J20" s="4" t="str">
        <x:v>否</x:v>
      </x:c>
      <x:c r="K20" s="4" t="str">
        <x:v>固定压缩量插值</x:v>
      </x:c>
    </x:row>
    <x:row r="21" ht="25" customHeight="1">
      <x:c r="A21" s="4" t="str">
        <x:v>28-Q64</x:v>
      </x:c>
      <x:c r="B21" s="4" t="str">
        <x:v>diverse_28</x:v>
      </x:c>
      <x:c r="C21" s="4" t="str">
        <x:v>28-S40</x:v>
      </x:c>
      <x:c r="D21" s="20" t="n">
        <x:v>5</x:v>
      </x:c>
      <x:c r="E21" s="20" t="n">
        <x:v>1.7231125323181165</x:v>
      </x:c>
      <x:c r="F21" s="20" t="n">
        <x:v>1.6103992253526205</x:v>
      </x:c>
      <x:c r="G21" s="20" t="n">
        <x:f>E21-F21</x:f>
        <x:v>0.11271330696549597</x:v>
      </x:c>
      <x:c r="H21" s="21" t="n">
        <x:f>E21/F21-1</x:f>
        <x:v>0.06999090982598788</x:v>
      </x:c>
      <x:c r="I21" s="21" t="n">
        <x:v>0.0502492965696734</x:v>
      </x:c>
      <x:c r="J21" s="4" t="str">
        <x:v>否</x:v>
      </x:c>
      <x:c r="K21" s="4" t="str">
        <x:v>固定压缩量插值</x:v>
      </x:c>
    </x:row>
    <x:row r="22" ht="25" customHeight="1">
      <x:c r="A22" s="4" t="str">
        <x:v>28-Q64</x:v>
      </x:c>
      <x:c r="B22" s="4" t="str">
        <x:v>diverse_28</x:v>
      </x:c>
      <x:c r="C22" s="4" t="str">
        <x:v>28-S40</x:v>
      </x:c>
      <x:c r="D22" s="20" t="n">
        <x:v>10</x:v>
      </x:c>
      <x:c r="E22" s="20" t="n">
        <x:v>2.4496583664946723</x:v>
      </x:c>
      <x:c r="F22" s="20" t="n">
        <x:v>2.2387674044908055</x:v>
      </x:c>
      <x:c r="G22" s="20" t="n">
        <x:f>E22-F22</x:f>
        <x:v>0.2108909620038668</x:v>
      </x:c>
      <x:c r="H22" s="21" t="n">
        <x:f>E22/F22-1</x:f>
        <x:v>0.09419958570990206</x:v>
      </x:c>
      <x:c r="I22" s="21" t="n">
        <x:v>0.09401837971837736</x:v>
      </x:c>
      <x:c r="J22" s="4" t="str">
        <x:v>否</x:v>
      </x:c>
      <x:c r="K22" s="4" t="str">
        <x:v>固定压缩量插值</x:v>
      </x:c>
    </x:row>
    <x:row r="23" ht="25" customHeight="1">
      <x:c r="A23" s="4" t="str">
        <x:v>28-Q64</x:v>
      </x:c>
      <x:c r="B23" s="4" t="str">
        <x:v>diverse_28</x:v>
      </x:c>
      <x:c r="C23" s="4" t="str">
        <x:v>28-S40</x:v>
      </x:c>
      <x:c r="D23" s="20" t="n">
        <x:v>12</x:v>
      </x:c>
      <x:c r="E23" s="20" t="n">
        <x:v>2.439349519148989</x:v>
      </x:c>
      <x:c r="F23" s="20" t="n">
        <x:v>2.219805912481243</x:v>
      </x:c>
      <x:c r="G23" s="20" t="n">
        <x:f>E23-F23</x:f>
        <x:v>0.21954360666774608</x:v>
      </x:c>
      <x:c r="H23" s="21" t="n">
        <x:f>E23/F23-1</x:f>
        <x:v>0.09890216321765988</x:v>
      </x:c>
      <x:c r="I23" s="21" t="n">
        <x:v>0.09787585954514147</x:v>
      </x:c>
      <x:c r="J23" s="4" t="str">
        <x:v>否</x:v>
      </x:c>
      <x:c r="K23" s="4" t="str">
        <x:v>固定压缩量插值</x:v>
      </x:c>
    </x:row>
    <x:row r="24" ht="25" customHeight="1">
      <x:c r="A24" s="4" t="str">
        <x:v>28-Q64</x:v>
      </x:c>
      <x:c r="B24" s="4" t="str">
        <x:v>diverse_28</x:v>
      </x:c>
      <x:c r="C24" s="4" t="str">
        <x:v>28-S40</x:v>
      </x:c>
      <x:c r="D24" s="20" t="n">
        <x:v>14.000000000000002</x:v>
      </x:c>
      <x:c r="E24" s="20" t="n">
        <x:v>2.3649452996337756</x:v>
      </x:c>
      <x:c r="F24" s="20" t="n">
        <x:v>2.1398810963393506</x:v>
      </x:c>
      <x:c r="G24" s="20" t="n">
        <x:f>E24-F24</x:f>
        <x:v>0.225064203294425</x:v>
      </x:c>
      <x:c r="H24" s="21" t="n">
        <x:f>E24/F24-1</x:f>
        <x:v>0.10517603229424166</x:v>
      </x:c>
      <x:c r="I24" s="21" t="n">
        <x:v>0.1003370249975973</x:v>
      </x:c>
      <x:c r="J24" s="4" t="str">
        <x:v>否</x:v>
      </x:c>
      <x:c r="K24" s="4" t="str">
        <x:v>固定压缩量插值</x:v>
      </x:c>
    </x:row>
    <x:row r="25" ht="25" customHeight="1">
      <x:c r="A25" s="4" t="str">
        <x:v>28-Q64</x:v>
      </x:c>
      <x:c r="B25" s="4" t="str">
        <x:v>diverse_28</x:v>
      </x:c>
      <x:c r="C25" s="4" t="str">
        <x:v>28-S40</x:v>
      </x:c>
      <x:c r="D25" s="20" t="n">
        <x:v>15</x:v>
      </x:c>
      <x:c r="E25" s="20" t="n">
        <x:v>2.313300334352187</x:v>
      </x:c>
      <x:c r="F25" s="20" t="n">
        <x:v>2.0904140550078156</x:v>
      </x:c>
      <x:c r="G25" s="20" t="n">
        <x:f>E25-F25</x:f>
        <x:v>0.22288627934437155</x:v>
      </x:c>
      <x:c r="H25" s="21" t="n">
        <x:f>E25/F25-1</x:f>
        <x:v>0.10662302944740687</x:v>
      </x:c>
      <x:c r="I25" s="21" t="n">
        <x:v>0.0993660735685355</x:v>
      </x:c>
      <x:c r="J25" s="4" t="str">
        <x:v>否</x:v>
      </x:c>
      <x:c r="K25" s="4" t="str">
        <x:v>固定压缩量插值</x:v>
      </x:c>
    </x:row>
    <x:row r="26" ht="25" customHeight="1">
      <x:c r="A26" s="4" t="str">
        <x:v>28-Q64</x:v>
      </x:c>
      <x:c r="B26" s="4" t="str">
        <x:v>diverse_28</x:v>
      </x:c>
      <x:c r="C26" s="4" t="str">
        <x:v>28-S40</x:v>
      </x:c>
      <x:c r="D26" s="20" t="n">
        <x:v>16</x:v>
      </x:c>
      <x:c r="E26" s="20" t="n">
        <x:v>2.264221428451812</x:v>
      </x:c>
      <x:c r="F26" s="20" t="n">
        <x:v>2.038506473209727</x:v>
      </x:c>
      <x:c r="G26" s="20" t="n">
        <x:f>E26-F26</x:f>
        <x:v>0.22571495524208496</x:v>
      </x:c>
      <x:c r="H26" s="21" t="n">
        <x:f>E26/F26-1</x:f>
        <x:v>0.11072565047423466</x:v>
      </x:c>
      <x:c r="I26" s="21" t="n">
        <x:v>0.1006271400558066</x:v>
      </x:c>
      <x:c r="J26" s="4" t="str">
        <x:v>否</x:v>
      </x:c>
      <x:c r="K26" s="4" t="str">
        <x:v>固定压缩量插值</x:v>
      </x:c>
    </x:row>
    <x:row r="27" ht="25" customHeight="1">
      <x:c r="A27" s="4" t="str">
        <x:v>28-Q64</x:v>
      </x:c>
      <x:c r="B27" s="4" t="str">
        <x:v>diverse_28</x:v>
      </x:c>
      <x:c r="C27" s="4" t="str">
        <x:v>28-S40</x:v>
      </x:c>
      <x:c r="D27" s="20" t="n">
        <x:v>18</x:v>
      </x:c>
      <x:c r="E27" s="20" t="n">
        <x:v>2.1564711849177236</x:v>
      </x:c>
      <x:c r="F27" s="20" t="n">
        <x:v>1.9333123185934167</x:v>
      </x:c>
      <x:c r="G27" s="20" t="n">
        <x:f>E27-F27</x:f>
        <x:v>0.22315886632430693</x:v>
      </x:c>
      <x:c r="H27" s="21" t="n">
        <x:f>E27/F27-1</x:f>
        <x:v>0.11542825449261418</x:v>
      </x:c>
      <x:c r="I27" s="21" t="n">
        <x:v>0.09948759696594585</x:v>
      </x:c>
      <x:c r="J27" s="4" t="str">
        <x:v>否</x:v>
      </x:c>
      <x:c r="K27" s="4" t="str">
        <x:v>固定压缩量插值</x:v>
      </x:c>
    </x:row>
    <x:row r="28" ht="25" customHeight="1">
      <x:c r="A28" s="4" t="str">
        <x:v>28-Q64</x:v>
      </x:c>
      <x:c r="B28" s="4" t="str">
        <x:v>diverse_28</x:v>
      </x:c>
      <x:c r="C28" s="4" t="str">
        <x:v>28-S40</x:v>
      </x:c>
      <x:c r="D28" s="20" t="n">
        <x:v>20</x:v>
      </x:c>
      <x:c r="E28" s="20" t="n">
        <x:v>2.0734647274991014</x:v>
      </x:c>
      <x:c r="F28" s="20" t="n">
        <x:v>1.8314450142940606</x:v>
      </x:c>
      <x:c r="G28" s="20" t="n">
        <x:f>E28-F28</x:f>
        <x:v>0.2420197132050408</x:v>
      </x:c>
      <x:c r="H28" s="21" t="n">
        <x:f>E28/F28-1</x:f>
        <x:v>0.13214686289576028</x:v>
      </x:c>
      <x:c r="I28" s="21" t="n">
        <x:v>0.10789604769799048</x:v>
      </x:c>
      <x:c r="J28" s="4" t="str">
        <x:v>否</x:v>
      </x:c>
      <x:c r="K28" s="4" t="str">
        <x:v>固定压缩量插值</x:v>
      </x:c>
    </x:row>
    <x:row r="29" ht="25" customHeight="1">
      <x:c r="A29" s="4" t="str">
        <x:v>28-H8</x:v>
      </x:c>
      <x:c r="B29" s="4" t="str">
        <x:v>diverse_28</x:v>
      </x:c>
      <x:c r="C29" s="4" t="str">
        <x:v>28-S40</x:v>
      </x:c>
      <x:c r="D29" s="20" t="n">
        <x:v>1</x:v>
      </x:c>
      <x:c r="E29" s="20" t="n">
        <x:v>0.40324923758069886</x:v>
      </x:c>
      <x:c r="F29" s="20" t="n">
        <x:v>0.36943723478252233</x:v>
      </x:c>
      <x:c r="G29" s="20" t="n">
        <x:f>E29-F29</x:f>
        <x:v>0.03381200279817653</x:v>
      </x:c>
      <x:c r="H29" s="21" t="n">
        <x:f>E29/F29-1</x:f>
        <x:v>0.09152299664131247</x:v>
      </x:c>
      <x:c r="I29" s="21" t="n">
        <x:v>0.015073902114683848</x:v>
      </x:c>
      <x:c r="J29" s="4" t="str">
        <x:v>否</x:v>
      </x:c>
      <x:c r="K29" s="4" t="str">
        <x:v>固定压缩量插值</x:v>
      </x:c>
    </x:row>
    <x:row r="30" ht="25" customHeight="1">
      <x:c r="A30" s="4" t="str">
        <x:v>28-H8</x:v>
      </x:c>
      <x:c r="B30" s="4" t="str">
        <x:v>diverse_28</x:v>
      </x:c>
      <x:c r="C30" s="4" t="str">
        <x:v>28-S40</x:v>
      </x:c>
      <x:c r="D30" s="20" t="n">
        <x:v>5</x:v>
      </x:c>
      <x:c r="E30" s="20" t="n">
        <x:v>1.7588801910465244</x:v>
      </x:c>
      <x:c r="F30" s="20" t="n">
        <x:v>1.6103992253526205</x:v>
      </x:c>
      <x:c r="G30" s="20" t="n">
        <x:f>E30-F30</x:f>
        <x:v>0.1484809656939039</x:v>
      </x:c>
      <x:c r="H30" s="21" t="n">
        <x:f>E30/F30-1</x:f>
        <x:v>0.09220133949169762</x:v>
      </x:c>
      <x:c r="I30" s="21" t="n">
        <x:v>0.06619505966929419</x:v>
      </x:c>
      <x:c r="J30" s="4" t="str">
        <x:v>否</x:v>
      </x:c>
      <x:c r="K30" s="4" t="str">
        <x:v>固定压缩量插值</x:v>
      </x:c>
    </x:row>
    <x:row r="31" ht="25" customHeight="1">
      <x:c r="A31" s="4" t="str">
        <x:v>28-H8</x:v>
      </x:c>
      <x:c r="B31" s="4" t="str">
        <x:v>diverse_28</x:v>
      </x:c>
      <x:c r="C31" s="4" t="str">
        <x:v>28-S40</x:v>
      </x:c>
      <x:c r="D31" s="20" t="n">
        <x:v>10</x:v>
      </x:c>
      <x:c r="E31" s="20" t="n">
        <x:v>2.576280059005974</x:v>
      </x:c>
      <x:c r="F31" s="20" t="n">
        <x:v>2.2387674044908055</x:v>
      </x:c>
      <x:c r="G31" s="20" t="n">
        <x:f>E31-F31</x:f>
        <x:v>0.33751265451516854</x:v>
      </x:c>
      <x:c r="H31" s="21" t="n">
        <x:f>E31/F31-1</x:f>
        <x:v>0.15075824931082282</x:v>
      </x:c>
      <x:c r="I31" s="21" t="n">
        <x:v>0.15046824487140797</x:v>
      </x:c>
      <x:c r="J31" s="4" t="str">
        <x:v>否</x:v>
      </x:c>
      <x:c r="K31" s="4" t="str">
        <x:v>固定压缩量插值</x:v>
      </x:c>
    </x:row>
    <x:row r="32" ht="25" customHeight="1">
      <x:c r="A32" s="4" t="str">
        <x:v>28-H8</x:v>
      </x:c>
      <x:c r="B32" s="4" t="str">
        <x:v>diverse_28</x:v>
      </x:c>
      <x:c r="C32" s="4" t="str">
        <x:v>28-S40</x:v>
      </x:c>
      <x:c r="D32" s="20" t="n">
        <x:v>12</x:v>
      </x:c>
      <x:c r="E32" s="20" t="n">
        <x:v>2.591072741975712</x:v>
      </x:c>
      <x:c r="F32" s="20" t="n">
        <x:v>2.219805912481243</x:v>
      </x:c>
      <x:c r="G32" s="20" t="n">
        <x:f>E32-F32</x:f>
        <x:v>0.371266829494469</x:v>
      </x:c>
      <x:c r="H32" s="21" t="n">
        <x:f>E32/F32-1</x:f>
        <x:v>0.16725193288609463</x:v>
      </x:c>
      <x:c r="I32" s="21" t="n">
        <x:v>0.16551636647002932</x:v>
      </x:c>
      <x:c r="J32" s="4" t="str">
        <x:v>否</x:v>
      </x:c>
      <x:c r="K32" s="4" t="str">
        <x:v>固定压缩量插值</x:v>
      </x:c>
    </x:row>
    <x:row r="33" ht="25" customHeight="1">
      <x:c r="A33" s="4" t="str">
        <x:v>28-H8</x:v>
      </x:c>
      <x:c r="B33" s="4" t="str">
        <x:v>diverse_28</x:v>
      </x:c>
      <x:c r="C33" s="4" t="str">
        <x:v>28-S40</x:v>
      </x:c>
      <x:c r="D33" s="20" t="n">
        <x:v>14.000000000000002</x:v>
      </x:c>
      <x:c r="E33" s="20" t="n">
        <x:v>2.5310507000615425</x:v>
      </x:c>
      <x:c r="F33" s="20" t="n">
        <x:v>2.1398810963393506</x:v>
      </x:c>
      <x:c r="G33" s="20" t="n">
        <x:f>E33-F33</x:f>
        <x:v>0.3911696037221919</x:v>
      </x:c>
      <x:c r="H33" s="21" t="n">
        <x:f>E33/F33-1</x:f>
        <x:v>0.18279969124983508</x:v>
      </x:c>
      <x:c r="I33" s="21" t="n">
        <x:v>0.17438932416822064</x:v>
      </x:c>
      <x:c r="J33" s="4" t="str">
        <x:v>否</x:v>
      </x:c>
      <x:c r="K33" s="4" t="str">
        <x:v>固定压缩量插值</x:v>
      </x:c>
    </x:row>
    <x:row r="34" ht="25" customHeight="1">
      <x:c r="A34" s="4" t="str">
        <x:v>28-H8</x:v>
      </x:c>
      <x:c r="B34" s="4" t="str">
        <x:v>diverse_28</x:v>
      </x:c>
      <x:c r="C34" s="4" t="str">
        <x:v>28-S40</x:v>
      </x:c>
      <x:c r="D34" s="20" t="n">
        <x:v>15</x:v>
      </x:c>
      <x:c r="E34" s="20" t="n">
        <x:v>2.481778951186179</x:v>
      </x:c>
      <x:c r="F34" s="20" t="n">
        <x:v>2.0904140550078156</x:v>
      </x:c>
      <x:c r="G34" s="20" t="n">
        <x:f>E34-F34</x:f>
        <x:v>0.39136489617836334</x:v>
      </x:c>
      <x:c r="H34" s="21" t="n">
        <x:f>E34/F34-1</x:f>
        <x:v>0.1872188408037183</x:v>
      </x:c>
      <x:c r="I34" s="21" t="n">
        <x:v>0.1744763884981758</x:v>
      </x:c>
      <x:c r="J34" s="4" t="str">
        <x:v>否</x:v>
      </x:c>
      <x:c r="K34" s="4" t="str">
        <x:v>固定压缩量插值</x:v>
      </x:c>
    </x:row>
    <x:row r="35" ht="25" customHeight="1">
      <x:c r="A35" s="4" t="str">
        <x:v>28-H8</x:v>
      </x:c>
      <x:c r="B35" s="4" t="str">
        <x:v>diverse_28</x:v>
      </x:c>
      <x:c r="C35" s="4" t="str">
        <x:v>28-S40</x:v>
      </x:c>
      <x:c r="D35" s="20" t="n">
        <x:v>16</x:v>
      </x:c>
      <x:c r="E35" s="20" t="n">
        <x:v>2.434673757070177</x:v>
      </x:c>
      <x:c r="F35" s="20" t="n">
        <x:v>2.038506473209727</x:v>
      </x:c>
      <x:c r="G35" s="20" t="n">
        <x:f>E35-F35</x:f>
        <x:v>0.39616728386044997</x:v>
      </x:c>
      <x:c r="H35" s="21" t="n">
        <x:f>E35/F35-1</x:f>
        <x:v>0.19434193075515016</x:v>
      </x:c>
      <x:c r="I35" s="21" t="n">
        <x:v>0.1766173655431807</x:v>
      </x:c>
      <x:c r="J35" s="4" t="str">
        <x:v>否</x:v>
      </x:c>
      <x:c r="K35" s="4" t="str">
        <x:v>固定压缩量插值</x:v>
      </x:c>
    </x:row>
    <x:row r="36" ht="25" customHeight="1">
      <x:c r="A36" s="4" t="str">
        <x:v>28-H8</x:v>
      </x:c>
      <x:c r="B36" s="4" t="str">
        <x:v>diverse_28</x:v>
      </x:c>
      <x:c r="C36" s="4" t="str">
        <x:v>28-S40</x:v>
      </x:c>
      <x:c r="D36" s="20" t="n">
        <x:v>18</x:v>
      </x:c>
      <x:c r="E36" s="20" t="n">
        <x:v>2.3263698395159174</x:v>
      </x:c>
      <x:c r="F36" s="20" t="n">
        <x:v>1.9333123185934167</x:v>
      </x:c>
      <x:c r="G36" s="20" t="n">
        <x:f>E36-F36</x:f>
        <x:v>0.3930575209225007</x:v>
      </x:c>
      <x:c r="H36" s="21" t="n">
        <x:f>E36/F36-1</x:f>
        <x:v>0.20330782416390436</x:v>
      </x:c>
      <x:c r="I36" s="21" t="n">
        <x:v>0.17523098620308886</x:v>
      </x:c>
      <x:c r="J36" s="4" t="str">
        <x:v>否</x:v>
      </x:c>
      <x:c r="K36" s="4" t="str">
        <x:v>固定压缩量插值</x:v>
      </x:c>
    </x:row>
    <x:row r="37" ht="25" customHeight="1">
      <x:c r="A37" s="4" t="str">
        <x:v>28-H8</x:v>
      </x:c>
      <x:c r="B37" s="4" t="str">
        <x:v>diverse_28</x:v>
      </x:c>
      <x:c r="C37" s="4" t="str">
        <x:v>28-S40</x:v>
      </x:c>
      <x:c r="D37" s="20" t="n">
        <x:v>20</x:v>
      </x:c>
      <x:c r="E37" s="20" t="n">
        <x:v>2.2409184047735686</x:v>
      </x:c>
      <x:c r="F37" s="20" t="n">
        <x:v>1.8314450142940606</x:v>
      </x:c>
      <x:c r="G37" s="20" t="n">
        <x:f>E37-F37</x:f>
        <x:v>0.40947339047950804</x:v>
      </x:c>
      <x:c r="H37" s="21" t="n">
        <x:f>E37/F37-1</x:f>
        <x:v>0.22357940712587632</x:v>
      </x:c>
      <x:c r="I37" s="21" t="n">
        <x:v>0.18254942907400606</x:v>
      </x:c>
      <x:c r="J37" s="4" t="str">
        <x:v>否</x:v>
      </x:c>
      <x:c r="K37" s="4" t="str">
        <x:v>固定压缩量插值</x:v>
      </x:c>
    </x:row>
    <x:row r="38" ht="25" customHeight="1">
      <x:c r="A38" s="4" t="str">
        <x:v>28-Dminus</x:v>
      </x:c>
      <x:c r="B38" s="4" t="str">
        <x:v>diverse_28</x:v>
      </x:c>
      <x:c r="C38" s="4" t="str">
        <x:v>28-S40</x:v>
      </x:c>
      <x:c r="D38" s="20" t="n">
        <x:v>1</x:v>
      </x:c>
      <x:c r="E38" s="20" t="n">
        <x:v>0.39311261445966883</x:v>
      </x:c>
      <x:c r="F38" s="20" t="n">
        <x:v>0.36943723478252233</x:v>
      </x:c>
      <x:c r="G38" s="20" t="n">
        <x:f>E38-F38</x:f>
        <x:v>0.023675379677146502</x:v>
      </x:c>
      <x:c r="H38" s="21" t="n">
        <x:f>E38/F38-1</x:f>
        <x:v>0.06408498507488969</x:v>
      </x:c>
      <x:c r="I38" s="21" t="n">
        <x:v>0.010554842252660882</x:v>
      </x:c>
      <x:c r="J38" s="4" t="str">
        <x:v>否</x:v>
      </x:c>
      <x:c r="K38" s="4" t="str">
        <x:v>固定压缩量插值</x:v>
      </x:c>
    </x:row>
    <x:row r="39" ht="25" customHeight="1">
      <x:c r="A39" s="4" t="str">
        <x:v>28-Dminus</x:v>
      </x:c>
      <x:c r="B39" s="4" t="str">
        <x:v>diverse_28</x:v>
      </x:c>
      <x:c r="C39" s="4" t="str">
        <x:v>28-S40</x:v>
      </x:c>
      <x:c r="D39" s="20" t="n">
        <x:v>5</x:v>
      </x:c>
      <x:c r="E39" s="20" t="n">
        <x:v>1.6896554222646087</x:v>
      </x:c>
      <x:c r="F39" s="20" t="n">
        <x:v>1.6103992253526205</x:v>
      </x:c>
      <x:c r="G39" s="20" t="n">
        <x:f>E39-F39</x:f>
        <x:v>0.07925619691198826</x:v>
      </x:c>
      <x:c r="H39" s="21" t="n">
        <x:f>E39/F39-1</x:f>
        <x:v>0.04921524778716524</x:v>
      </x:c>
      <x:c r="I39" s="21" t="n">
        <x:v>0.03533361100685373</x:v>
      </x:c>
      <x:c r="J39" s="4" t="str">
        <x:v>否</x:v>
      </x:c>
      <x:c r="K39" s="4" t="str">
        <x:v>固定压缩量插值</x:v>
      </x:c>
    </x:row>
    <x:row r="40" ht="25" customHeight="1">
      <x:c r="A40" s="4" t="str">
        <x:v>28-Dminus</x:v>
      </x:c>
      <x:c r="B40" s="4" t="str">
        <x:v>diverse_28</x:v>
      </x:c>
      <x:c r="C40" s="4" t="str">
        <x:v>28-S40</x:v>
      </x:c>
      <x:c r="D40" s="20" t="n">
        <x:v>10</x:v>
      </x:c>
      <x:c r="E40" s="20" t="n">
        <x:v>2.361556204993487</x:v>
      </x:c>
      <x:c r="F40" s="20" t="n">
        <x:v>2.2387674044908055</x:v>
      </x:c>
      <x:c r="G40" s="20" t="n">
        <x:f>E40-F40</x:f>
        <x:v>0.12278880050268137</x:v>
      </x:c>
      <x:c r="H40" s="21" t="n">
        <x:f>E40/F40-1</x:f>
        <x:v>0.05484660901189464</x:v>
      </x:c>
      <x:c r="I40" s="21" t="n">
        <x:v>0.05474110393888529</x:v>
      </x:c>
      <x:c r="J40" s="4" t="str">
        <x:v>否</x:v>
      </x:c>
      <x:c r="K40" s="4" t="str">
        <x:v>固定压缩量插值</x:v>
      </x:c>
    </x:row>
    <x:row r="41" ht="25" customHeight="1">
      <x:c r="A41" s="4" t="str">
        <x:v>28-Dminus</x:v>
      </x:c>
      <x:c r="B41" s="4" t="str">
        <x:v>diverse_28</x:v>
      </x:c>
      <x:c r="C41" s="4" t="str">
        <x:v>28-S40</x:v>
      </x:c>
      <x:c r="D41" s="20" t="n">
        <x:v>12</x:v>
      </x:c>
      <x:c r="E41" s="20" t="n">
        <x:v>2.340034493920908</x:v>
      </x:c>
      <x:c r="F41" s="20" t="n">
        <x:v>2.219805912481243</x:v>
      </x:c>
      <x:c r="G41" s="20" t="n">
        <x:f>E41-F41</x:f>
        <x:v>0.12022858143966486</x:v>
      </x:c>
      <x:c r="H41" s="21" t="n">
        <x:f>E41/F41-1</x:f>
        <x:v>0.05416175385589295</x:v>
      </x:c>
      <x:c r="I41" s="21" t="n">
        <x:v>0.0535997195678258</x:v>
      </x:c>
      <x:c r="J41" s="4" t="str">
        <x:v>否</x:v>
      </x:c>
      <x:c r="K41" s="4" t="str">
        <x:v>固定压缩量插值</x:v>
      </x:c>
    </x:row>
    <x:row r="42" ht="25" customHeight="1">
      <x:c r="A42" s="4" t="str">
        <x:v>28-Dminus</x:v>
      </x:c>
      <x:c r="B42" s="4" t="str">
        <x:v>diverse_28</x:v>
      </x:c>
      <x:c r="C42" s="4" t="str">
        <x:v>28-S40</x:v>
      </x:c>
      <x:c r="D42" s="20" t="n">
        <x:v>14.000000000000002</x:v>
      </x:c>
      <x:c r="E42" s="20" t="n">
        <x:v>2.2604820035158886</x:v>
      </x:c>
      <x:c r="F42" s="20" t="n">
        <x:v>2.1398810963393506</x:v>
      </x:c>
      <x:c r="G42" s="20" t="n">
        <x:f>E42-F42</x:f>
        <x:v>0.12060090717653793</x:v>
      </x:c>
      <x:c r="H42" s="21" t="n">
        <x:f>E42/F42-1</x:f>
        <x:v>0.05635869552885309</x:v>
      </x:c>
      <x:c r="I42" s="21" t="n">
        <x:v>0.05376570801121682</x:v>
      </x:c>
      <x:c r="J42" s="4" t="str">
        <x:v>否</x:v>
      </x:c>
      <x:c r="K42" s="4" t="str">
        <x:v>固定压缩量插值</x:v>
      </x:c>
    </x:row>
    <x:row r="43" ht="25" customHeight="1">
      <x:c r="A43" s="4" t="str">
        <x:v>28-Dminus</x:v>
      </x:c>
      <x:c r="B43" s="4" t="str">
        <x:v>diverse_28</x:v>
      </x:c>
      <x:c r="C43" s="4" t="str">
        <x:v>28-S40</x:v>
      </x:c>
      <x:c r="D43" s="20" t="n">
        <x:v>15</x:v>
      </x:c>
      <x:c r="E43" s="20" t="n">
        <x:v>2.2097066963754965</x:v>
      </x:c>
      <x:c r="F43" s="20" t="n">
        <x:v>2.0904140550078156</x:v>
      </x:c>
      <x:c r="G43" s="20" t="n">
        <x:f>E43-F43</x:f>
        <x:v>0.11929264136768092</x:v>
      </x:c>
      <x:c r="H43" s="21" t="n">
        <x:f>E43/F43-1</x:f>
        <x:v>0.057066513249804496</x:v>
      </x:c>
      <x:c r="I43" s="21" t="n">
        <x:v>0.053182463331497294</x:v>
      </x:c>
      <x:c r="J43" s="4" t="str">
        <x:v>否</x:v>
      </x:c>
      <x:c r="K43" s="4" t="str">
        <x:v>固定压缩量插值</x:v>
      </x:c>
    </x:row>
    <x:row r="44" ht="25" customHeight="1">
      <x:c r="A44" s="4" t="str">
        <x:v>28-Dminus</x:v>
      </x:c>
      <x:c r="B44" s="4" t="str">
        <x:v>diverse_28</x:v>
      </x:c>
      <x:c r="C44" s="4" t="str">
        <x:v>28-S40</x:v>
      </x:c>
      <x:c r="D44" s="20" t="n">
        <x:v>16</x:v>
      </x:c>
      <x:c r="E44" s="20" t="n">
        <x:v>2.161431270161807</x:v>
      </x:c>
      <x:c r="F44" s="20" t="n">
        <x:v>2.038506473209727</x:v>
      </x:c>
      <x:c r="G44" s="20" t="n">
        <x:f>E44-F44</x:f>
        <x:v>0.12292479695208014</x:v>
      </x:c>
      <x:c r="H44" s="21" t="n">
        <x:f>E44/F44-1</x:f>
        <x:v>0.06030140132865469</x:v>
      </x:c>
      <x:c r="I44" s="21" t="n">
        <x:v>0.054801733212413335</x:v>
      </x:c>
      <x:c r="J44" s="4" t="str">
        <x:v>否</x:v>
      </x:c>
      <x:c r="K44" s="4" t="str">
        <x:v>固定压缩量插值</x:v>
      </x:c>
    </x:row>
    <x:row r="45" ht="25" customHeight="1">
      <x:c r="A45" s="4" t="str">
        <x:v>28-Dminus</x:v>
      </x:c>
      <x:c r="B45" s="4" t="str">
        <x:v>diverse_28</x:v>
      </x:c>
      <x:c r="C45" s="4" t="str">
        <x:v>28-S40</x:v>
      </x:c>
      <x:c r="D45" s="20" t="n">
        <x:v>18</x:v>
      </x:c>
      <x:c r="E45" s="20" t="n">
        <x:v>2.056870791835923</x:v>
      </x:c>
      <x:c r="F45" s="20" t="n">
        <x:v>1.9333123185934167</x:v>
      </x:c>
      <x:c r="G45" s="20" t="n">
        <x:f>E45-F45</x:f>
        <x:v>0.12355847324250635</x:v>
      </x:c>
      <x:c r="H45" s="21" t="n">
        <x:f>E45/F45-1</x:f>
        <x:v>0.06391024981023308</x:v>
      </x:c>
      <x:c r="I45" s="21" t="n">
        <x:v>0.055084235684428856</x:v>
      </x:c>
      <x:c r="J45" s="4" t="str">
        <x:v>否</x:v>
      </x:c>
      <x:c r="K45" s="4" t="str">
        <x:v>固定压缩量插值</x:v>
      </x:c>
    </x:row>
    <x:row r="46" ht="25" customHeight="1">
      <x:c r="A46" s="4" t="str">
        <x:v>28-Dminus</x:v>
      </x:c>
      <x:c r="B46" s="4" t="str">
        <x:v>diverse_28</x:v>
      </x:c>
      <x:c r="C46" s="4" t="str">
        <x:v>28-S40</x:v>
      </x:c>
      <x:c r="D46" s="20" t="n">
        <x:v>20</x:v>
      </x:c>
      <x:c r="E46" s="20" t="n">
        <x:v>1.9768215825970206</x:v>
      </x:c>
      <x:c r="F46" s="20" t="n">
        <x:v>1.8314450142940606</x:v>
      </x:c>
      <x:c r="G46" s="20" t="n">
        <x:f>E46-F46</x:f>
        <x:v>0.14537656830295997</x:v>
      </x:c>
      <x:c r="H46" s="21" t="n">
        <x:f>E46/F46-1</x:f>
        <x:v>0.07937806877537956</x:v>
      </x:c>
      <x:c r="I46" s="21" t="n">
        <x:v>0.06481107237118915</x:v>
      </x:c>
      <x:c r="J46" s="4" t="str">
        <x:v>否</x:v>
      </x:c>
      <x:c r="K46" s="4" t="str">
        <x:v>固定压缩量插值</x:v>
      </x:c>
    </x:row>
    <x:row r="47" ht="25" customHeight="1">
      <x:c r="A47" s="4" t="str">
        <x:v>28-Dplus</x:v>
      </x:c>
      <x:c r="B47" s="4" t="str">
        <x:v>diverse_28</x:v>
      </x:c>
      <x:c r="C47" s="4" t="str">
        <x:v>28-S40</x:v>
      </x:c>
      <x:c r="D47" s="20" t="n">
        <x:v>1</x:v>
      </x:c>
      <x:c r="E47" s="20" t="n">
        <x:v>0.3982645982936376</x:v>
      </x:c>
      <x:c r="F47" s="20" t="n">
        <x:v>0.36943723478252233</x:v>
      </x:c>
      <x:c r="G47" s="20" t="n">
        <x:f>E47-F47</x:f>
        <x:v>0.028827363511115256</x:v>
      </x:c>
      <x:c r="H47" s="21" t="n">
        <x:f>E47/F47-1</x:f>
        <x:v>0.07803047661962159</x:v>
      </x:c>
      <x:c r="I47" s="21" t="n">
        <x:v>0.012851674548376497</x:v>
      </x:c>
      <x:c r="J47" s="4" t="str">
        <x:v>否</x:v>
      </x:c>
      <x:c r="K47" s="4" t="str">
        <x:v>固定压缩量插值</x:v>
      </x:c>
    </x:row>
    <x:row r="48" ht="25" customHeight="1">
      <x:c r="A48" s="4" t="str">
        <x:v>28-Dplus</x:v>
      </x:c>
      <x:c r="B48" s="4" t="str">
        <x:v>diverse_28</x:v>
      </x:c>
      <x:c r="C48" s="4" t="str">
        <x:v>28-S40</x:v>
      </x:c>
      <x:c r="D48" s="20" t="n">
        <x:v>5</x:v>
      </x:c>
      <x:c r="E48" s="20" t="n">
        <x:v>1.7159640371378044</x:v>
      </x:c>
      <x:c r="F48" s="20" t="n">
        <x:v>1.6103992253526205</x:v>
      </x:c>
      <x:c r="G48" s="20" t="n">
        <x:f>E48-F48</x:f>
        <x:v>0.10556481178518395</x:v>
      </x:c>
      <x:c r="H48" s="21" t="n">
        <x:f>E48/F48-1</x:f>
        <x:v>0.06555195141879744</x:v>
      </x:c>
      <x:c r="I48" s="21" t="n">
        <x:v>0.0470623893267483</x:v>
      </x:c>
      <x:c r="J48" s="4" t="str">
        <x:v>否</x:v>
      </x:c>
      <x:c r="K48" s="4" t="str">
        <x:v>固定压缩量插值</x:v>
      </x:c>
    </x:row>
    <x:row r="49" ht="25" customHeight="1">
      <x:c r="A49" s="4" t="str">
        <x:v>28-Dplus</x:v>
      </x:c>
      <x:c r="B49" s="4" t="str">
        <x:v>diverse_28</x:v>
      </x:c>
      <x:c r="C49" s="4" t="str">
        <x:v>28-S40</x:v>
      </x:c>
      <x:c r="D49" s="20" t="n">
        <x:v>10</x:v>
      </x:c>
      <x:c r="E49" s="20" t="n">
        <x:v>2.4147979834971296</x:v>
      </x:c>
      <x:c r="F49" s="20" t="n">
        <x:v>2.2387674044908055</x:v>
      </x:c>
      <x:c r="G49" s="20" t="n">
        <x:f>E49-F49</x:f>
        <x:v>0.17603057900632413</x:v>
      </x:c>
      <x:c r="H49" s="21" t="n">
        <x:f>E49/F49-1</x:f>
        <x:v>0.07862834640758987</x:v>
      </x:c>
      <x:c r="I49" s="21" t="n">
        <x:v>0.07847709385838428</x:v>
      </x:c>
      <x:c r="J49" s="4" t="str">
        <x:v>否</x:v>
      </x:c>
      <x:c r="K49" s="4" t="str">
        <x:v>固定压缩量插值</x:v>
      </x:c>
    </x:row>
    <x:row r="50" ht="25" customHeight="1">
      <x:c r="A50" s="4" t="str">
        <x:v>28-Dplus</x:v>
      </x:c>
      <x:c r="B50" s="4" t="str">
        <x:v>diverse_28</x:v>
      </x:c>
      <x:c r="C50" s="4" t="str">
        <x:v>28-S40</x:v>
      </x:c>
      <x:c r="D50" s="20" t="n">
        <x:v>12</x:v>
      </x:c>
      <x:c r="E50" s="20" t="n">
        <x:v>2.397369371000492</x:v>
      </x:c>
      <x:c r="F50" s="20" t="n">
        <x:v>2.219805912481243</x:v>
      </x:c>
      <x:c r="G50" s="20" t="n">
        <x:f>E50-F50</x:f>
        <x:v>0.17756345851924893</x:v>
      </x:c>
      <x:c r="H50" s="21" t="n">
        <x:f>E50/F50-1</x:f>
        <x:v>0.0799905331907027</x:v>
      </x:c>
      <x:c r="I50" s="21" t="n">
        <x:v>0.07916047472373422</x:v>
      </x:c>
      <x:c r="J50" s="4" t="str">
        <x:v>否</x:v>
      </x:c>
      <x:c r="K50" s="4" t="str">
        <x:v>固定压缩量插值</x:v>
      </x:c>
    </x:row>
    <x:row r="51" ht="25" customHeight="1">
      <x:c r="A51" s="4" t="str">
        <x:v>28-Dplus</x:v>
      </x:c>
      <x:c r="B51" s="4" t="str">
        <x:v>diverse_28</x:v>
      </x:c>
      <x:c r="C51" s="4" t="str">
        <x:v>28-S40</x:v>
      </x:c>
      <x:c r="D51" s="20" t="n">
        <x:v>14.000000000000002</x:v>
      </x:c>
      <x:c r="E51" s="20" t="n">
        <x:v>2.3193029291135208</x:v>
      </x:c>
      <x:c r="F51" s="20" t="n">
        <x:v>2.1398810963393506</x:v>
      </x:c>
      <x:c r="G51" s="20" t="n">
        <x:f>E51-F51</x:f>
        <x:v>0.17942183277417012</x:v>
      </x:c>
      <x:c r="H51" s="21" t="n">
        <x:f>E51/F51-1</x:f>
        <x:v>0.08384663665710357</x:v>
      </x:c>
      <x:c r="I51" s="21" t="n">
        <x:v>0.07998896606683328</x:v>
      </x:c>
      <x:c r="J51" s="4" t="str">
        <x:v>否</x:v>
      </x:c>
      <x:c r="K51" s="4" t="str">
        <x:v>固定压缩量插值</x:v>
      </x:c>
    </x:row>
    <x:row r="52" ht="25" customHeight="1">
      <x:c r="A52" s="4" t="str">
        <x:v>28-Dplus</x:v>
      </x:c>
      <x:c r="B52" s="4" t="str">
        <x:v>diverse_28</x:v>
      </x:c>
      <x:c r="C52" s="4" t="str">
        <x:v>28-S40</x:v>
      </x:c>
      <x:c r="D52" s="20" t="n">
        <x:v>15</x:v>
      </x:c>
      <x:c r="E52" s="20" t="n">
        <x:v>2.2679859219861562</x:v>
      </x:c>
      <x:c r="F52" s="20" t="n">
        <x:v>2.0904140550078156</x:v>
      </x:c>
      <x:c r="G52" s="20" t="n">
        <x:f>E52-F52</x:f>
        <x:v>0.1775718669783406</x:v>
      </x:c>
      <x:c r="H52" s="21" t="n">
        <x:f>E52/F52-1</x:f>
        <x:v>0.08494578696165367</x:v>
      </x:c>
      <x:c r="I52" s="21" t="n">
        <x:v>0.07916422334194059</x:v>
      </x:c>
      <x:c r="J52" s="4" t="str">
        <x:v>否</x:v>
      </x:c>
      <x:c r="K52" s="4" t="str">
        <x:v>固定压缩量插值</x:v>
      </x:c>
    </x:row>
    <x:row r="53" ht="25" customHeight="1">
      <x:c r="A53" s="4" t="str">
        <x:v>28-Dplus</x:v>
      </x:c>
      <x:c r="B53" s="4" t="str">
        <x:v>diverse_28</x:v>
      </x:c>
      <x:c r="C53" s="4" t="str">
        <x:v>28-S40</x:v>
      </x:c>
      <x:c r="D53" s="20" t="n">
        <x:v>16</x:v>
      </x:c>
      <x:c r="E53" s="20" t="n">
        <x:v>2.2194114181152726</x:v>
      </x:c>
      <x:c r="F53" s="20" t="n">
        <x:v>2.038506473209727</x:v>
      </x:c>
      <x:c r="G53" s="20" t="n">
        <x:f>E53-F53</x:f>
        <x:v>0.18090494490554576</x:v>
      </x:c>
      <x:c r="H53" s="21" t="n">
        <x:f>E53/F53-1</x:f>
        <x:v>0.08874386580715732</x:v>
      </x:c>
      <x:c r="I53" s="21" t="n">
        <x:v>0.08065015988096198</x:v>
      </x:c>
      <x:c r="J53" s="4" t="str">
        <x:v>否</x:v>
      </x:c>
      <x:c r="K53" s="4" t="str">
        <x:v>固定压缩量插值</x:v>
      </x:c>
    </x:row>
    <x:row r="54" ht="25" customHeight="1">
      <x:c r="A54" s="4" t="str">
        <x:v>28-Dplus</x:v>
      </x:c>
      <x:c r="B54" s="4" t="str">
        <x:v>diverse_28</x:v>
      </x:c>
      <x:c r="C54" s="4" t="str">
        <x:v>28-S40</x:v>
      </x:c>
      <x:c r="D54" s="20" t="n">
        <x:v>18</x:v>
      </x:c>
      <x:c r="E54" s="20" t="n">
        <x:v>2.112952659807628</x:v>
      </x:c>
      <x:c r="F54" s="20" t="n">
        <x:v>1.9333123185934167</x:v>
      </x:c>
      <x:c r="G54" s="20" t="n">
        <x:f>E54-F54</x:f>
        <x:v>0.17964034121421135</x:v>
      </x:c>
      <x:c r="H54" s="21" t="n">
        <x:f>E54/F54-1</x:f>
        <x:v>0.09291842786421012</x:v>
      </x:c>
      <x:c r="I54" s="21" t="n">
        <x:v>0.0800863804334437</x:v>
      </x:c>
      <x:c r="J54" s="4" t="str">
        <x:v>否</x:v>
      </x:c>
      <x:c r="K54" s="4" t="str">
        <x:v>固定压缩量插值</x:v>
      </x:c>
    </x:row>
    <x:row r="55" ht="25" customHeight="1">
      <x:c r="A55" s="4" t="str">
        <x:v>28-Dplus</x:v>
      </x:c>
      <x:c r="B55" s="4" t="str">
        <x:v>diverse_28</x:v>
      </x:c>
      <x:c r="C55" s="4" t="str">
        <x:v>28-S40</x:v>
      </x:c>
      <x:c r="D55" s="20" t="n">
        <x:v>20</x:v>
      </x:c>
      <x:c r="E55" s="20" t="n">
        <x:v>2.031532356106844</x:v>
      </x:c>
      <x:c r="F55" s="20" t="n">
        <x:v>1.8314450142940606</x:v>
      </x:c>
      <x:c r="G55" s="20" t="n">
        <x:f>E55-F55</x:f>
        <x:v>0.20008734181278331</x:v>
      </x:c>
      <x:c r="H55" s="21" t="n">
        <x:f>E55/F55-1</x:f>
        <x:v>0.10925107783806864</x:v>
      </x:c>
      <x:c r="I55" s="21" t="n">
        <x:v>0.08920196247694151</x:v>
      </x:c>
      <x:c r="J55" s="4" t="str">
        <x:v>否</x:v>
      </x:c>
      <x:c r="K55" s="4" t="str">
        <x:v>固定压缩量插值</x:v>
      </x:c>
    </x:row>
    <x:row r="56" ht="25" customHeight="1">
      <x:c r="A56" s="4" t="str">
        <x:v>28-NH4</x:v>
      </x:c>
      <x:c r="B56" s="4" t="str">
        <x:v>diverse_28</x:v>
      </x:c>
      <x:c r="C56" s="4" t="str">
        <x:v>28-S40</x:v>
      </x:c>
      <x:c r="D56" s="20" t="n">
        <x:v>1</x:v>
      </x:c>
      <x:c r="E56" s="20" t="n">
        <x:v>0.3956883920947591</x:v>
      </x:c>
      <x:c r="F56" s="20" t="n">
        <x:v>0.36943723478252233</x:v>
      </x:c>
      <x:c r="G56" s="20" t="n">
        <x:f>E56-F56</x:f>
        <x:v>0.02625115731223676</x:v>
      </x:c>
      <x:c r="H56" s="21" t="n">
        <x:f>E56/F56-1</x:f>
        <x:v>0.07105715082479458</x:v>
      </x:c>
      <x:c r="I56" s="21" t="n">
        <x:v>0.011703162870410162</x:v>
      </x:c>
      <x:c r="J56" s="4" t="str">
        <x:v>否</x:v>
      </x:c>
      <x:c r="K56" s="4" t="str">
        <x:v>固定压缩量插值</x:v>
      </x:c>
    </x:row>
    <x:row r="57" ht="25" customHeight="1">
      <x:c r="A57" s="4" t="str">
        <x:v>28-NH4</x:v>
      </x:c>
      <x:c r="B57" s="4" t="str">
        <x:v>diverse_28</x:v>
      </x:c>
      <x:c r="C57" s="4" t="str">
        <x:v>28-S40</x:v>
      </x:c>
      <x:c r="D57" s="20" t="n">
        <x:v>5</x:v>
      </x:c>
      <x:c r="E57" s="20" t="n">
        <x:v>1.702802568494709</x:v>
      </x:c>
      <x:c r="F57" s="20" t="n">
        <x:v>1.6103992253526205</x:v>
      </x:c>
      <x:c r="G57" s="20" t="n">
        <x:f>E57-F57</x:f>
        <x:v>0.09240334314208853</x:v>
      </x:c>
      <x:c r="H57" s="21" t="n">
        <x:f>E57/F57-1</x:f>
        <x:v>0.05737915275130323</x:v>
      </x:c>
      <x:c r="I57" s="21" t="n">
        <x:v>0.04119480759266064</x:v>
      </x:c>
      <x:c r="J57" s="4" t="str">
        <x:v>否</x:v>
      </x:c>
      <x:c r="K57" s="4" t="str">
        <x:v>固定压缩量插值</x:v>
      </x:c>
    </x:row>
    <x:row r="58" ht="25" customHeight="1">
      <x:c r="A58" s="4" t="str">
        <x:v>28-NH4</x:v>
      </x:c>
      <x:c r="B58" s="4" t="str">
        <x:v>diverse_28</x:v>
      </x:c>
      <x:c r="C58" s="4" t="str">
        <x:v>28-S40</x:v>
      </x:c>
      <x:c r="D58" s="20" t="n">
        <x:v>10</x:v>
      </x:c>
      <x:c r="E58" s="20" t="n">
        <x:v>2.3880968769606032</x:v>
      </x:c>
      <x:c r="F58" s="20" t="n">
        <x:v>2.2387674044908055</x:v>
      </x:c>
      <x:c r="G58" s="20" t="n">
        <x:f>E58-F58</x:f>
        <x:v>0.14932947246979777</x:v>
      </x:c>
      <x:c r="H58" s="21" t="n">
        <x:f>E58/F58-1</x:f>
        <x:v>0.0667016467053494</x:v>
      </x:c>
      <x:c r="I58" s="21" t="n">
        <x:v>0.06657333682015733</x:v>
      </x:c>
      <x:c r="J58" s="4" t="str">
        <x:v>否</x:v>
      </x:c>
      <x:c r="K58" s="4" t="str">
        <x:v>固定压缩量插值</x:v>
      </x:c>
    </x:row>
    <x:row r="59" ht="25" customHeight="1">
      <x:c r="A59" s="4" t="str">
        <x:v>28-NH4</x:v>
      </x:c>
      <x:c r="B59" s="4" t="str">
        <x:v>diverse_28</x:v>
      </x:c>
      <x:c r="C59" s="4" t="str">
        <x:v>28-S40</x:v>
      </x:c>
      <x:c r="D59" s="20" t="n">
        <x:v>12</x:v>
      </x:c>
      <x:c r="E59" s="20" t="n">
        <x:v>2.368582764291975</x:v>
      </x:c>
      <x:c r="F59" s="20" t="n">
        <x:v>2.219805912481243</x:v>
      </x:c>
      <x:c r="G59" s="20" t="n">
        <x:f>E59-F59</x:f>
        <x:v>0.14877685181073197</x:v>
      </x:c>
      <x:c r="H59" s="21" t="n">
        <x:f>E59/F59-1</x:f>
        <x:v>0.06702245947459118</x:v>
      </x:c>
      <x:c r="I59" s="21" t="n">
        <x:v>0.06632697017423479</x:v>
      </x:c>
      <x:c r="J59" s="4" t="str">
        <x:v>否</x:v>
      </x:c>
      <x:c r="K59" s="4" t="str">
        <x:v>固定压缩量插值</x:v>
      </x:c>
    </x:row>
    <x:row r="60" ht="25" customHeight="1">
      <x:c r="A60" s="4" t="str">
        <x:v>28-NH4</x:v>
      </x:c>
      <x:c r="B60" s="4" t="str">
        <x:v>diverse_28</x:v>
      </x:c>
      <x:c r="C60" s="4" t="str">
        <x:v>28-S40</x:v>
      </x:c>
      <x:c r="D60" s="20" t="n">
        <x:v>14.000000000000002</x:v>
      </x:c>
      <x:c r="E60" s="20" t="n">
        <x:v>2.289756698468399</x:v>
      </x:c>
      <x:c r="F60" s="20" t="n">
        <x:v>2.1398810963393506</x:v>
      </x:c>
      <x:c r="G60" s="20" t="n">
        <x:f>E60-F60</x:f>
        <x:v>0.14987560212904816</x:v>
      </x:c>
      <x:c r="H60" s="21" t="n">
        <x:f>E60/F60-1</x:f>
        <x:v>0.07003921964890347</x:v>
      </x:c>
      <x:c r="I60" s="21" t="n">
        <x:v>0.0668168096802125</x:v>
      </x:c>
      <x:c r="J60" s="4" t="str">
        <x:v>否</x:v>
      </x:c>
      <x:c r="K60" s="4" t="str">
        <x:v>固定压缩量插值</x:v>
      </x:c>
    </x:row>
    <x:row r="61" ht="25" customHeight="1">
      <x:c r="A61" s="4" t="str">
        <x:v>28-NH4</x:v>
      </x:c>
      <x:c r="B61" s="4" t="str">
        <x:v>diverse_28</x:v>
      </x:c>
      <x:c r="C61" s="4" t="str">
        <x:v>28-S40</x:v>
      </x:c>
      <x:c r="D61" s="20" t="n">
        <x:v>15</x:v>
      </x:c>
      <x:c r="E61" s="20" t="n">
        <x:v>2.2386978170482696</x:v>
      </x:c>
      <x:c r="F61" s="20" t="n">
        <x:v>2.0904140550078156</x:v>
      </x:c>
      <x:c r="G61" s="20" t="n">
        <x:f>E61-F61</x:f>
        <x:v>0.14828376204045401</x:v>
      </x:c>
      <x:c r="H61" s="21" t="n">
        <x:f>E61/F61-1</x:f>
        <x:v>0.07093511531135377</x:v>
      </x:c>
      <x:c r="I61" s="21" t="n">
        <x:v>0.06610714329869334</x:v>
      </x:c>
      <x:c r="J61" s="4" t="str">
        <x:v>否</x:v>
      </x:c>
      <x:c r="K61" s="4" t="str">
        <x:v>固定压缩量插值</x:v>
      </x:c>
    </x:row>
    <x:row r="62" ht="25" customHeight="1">
      <x:c r="A62" s="4" t="str">
        <x:v>28-NH4</x:v>
      </x:c>
      <x:c r="B62" s="4" t="str">
        <x:v>diverse_28</x:v>
      </x:c>
      <x:c r="C62" s="4" t="str">
        <x:v>28-S40</x:v>
      </x:c>
      <x:c r="D62" s="20" t="n">
        <x:v>16</x:v>
      </x:c>
      <x:c r="E62" s="20" t="n">
        <x:v>2.1902696026338457</x:v>
      </x:c>
      <x:c r="F62" s="20" t="n">
        <x:v>2.038506473209727</x:v>
      </x:c>
      <x:c r="G62" s="20" t="n">
        <x:f>E62-F62</x:f>
        <x:v>0.15176312942411885</x:v>
      </x:c>
      <x:c r="H62" s="21" t="n">
        <x:f>E62/F62-1</x:f>
        <x:v>0.07444819598005026</x:v>
      </x:c>
      <x:c r="I62" s="21" t="n">
        <x:v>0.06765829788942986</x:v>
      </x:c>
      <x:c r="J62" s="4" t="str">
        <x:v>否</x:v>
      </x:c>
      <x:c r="K62" s="4" t="str">
        <x:v>固定压缩量插值</x:v>
      </x:c>
    </x:row>
    <x:row r="63" ht="25" customHeight="1">
      <x:c r="A63" s="4" t="str">
        <x:v>28-NH4</x:v>
      </x:c>
      <x:c r="B63" s="4" t="str">
        <x:v>diverse_28</x:v>
      </x:c>
      <x:c r="C63" s="4" t="str">
        <x:v>28-S40</x:v>
      </x:c>
      <x:c r="D63" s="20" t="n">
        <x:v>18</x:v>
      </x:c>
      <x:c r="E63" s="20" t="n">
        <x:v>2.0847476883917997</x:v>
      </x:c>
      <x:c r="F63" s="20" t="n">
        <x:v>1.9333123185934167</x:v>
      </x:c>
      <x:c r="G63" s="20" t="n">
        <x:f>E63-F63</x:f>
        <x:v>0.151435369798383</x:v>
      </x:c>
      <x:c r="H63" s="21" t="n">
        <x:f>E63/F63-1</x:f>
        <x:v>0.07832949096841224</x:v>
      </x:c>
      <x:c r="I63" s="21" t="n">
        <x:v>0.06751217769226266</x:v>
      </x:c>
      <x:c r="J63" s="4" t="str">
        <x:v>否</x:v>
      </x:c>
      <x:c r="K63" s="4" t="str">
        <x:v>固定压缩量插值</x:v>
      </x:c>
    </x:row>
    <x:row r="64" ht="25" customHeight="1">
      <x:c r="A64" s="4" t="str">
        <x:v>28-NH4</x:v>
      </x:c>
      <x:c r="B64" s="4" t="str">
        <x:v>diverse_28</x:v>
      </x:c>
      <x:c r="C64" s="4" t="str">
        <x:v>28-S40</x:v>
      </x:c>
      <x:c r="D64" s="20" t="n">
        <x:v>20</x:v>
      </x:c>
      <x:c r="E64" s="20" t="n">
        <x:v>2.0038901844797974</x:v>
      </x:c>
      <x:c r="F64" s="20" t="n">
        <x:v>1.8314450142940606</x:v>
      </x:c>
      <x:c r="G64" s="20" t="n">
        <x:f>E64-F64</x:f>
        <x:v>0.1724451701857368</x:v>
      </x:c>
      <x:c r="H64" s="21" t="n">
        <x:f>E64/F64-1</x:f>
        <x:v>0.0941579839087916</x:v>
      </x:c>
      <x:c r="I64" s="21" t="n">
        <x:v>0.07687866439162781</x:v>
      </x:c>
      <x:c r="J64" s="4" t="str">
        <x:v>否</x:v>
      </x:c>
      <x:c r="K64" s="4" t="str">
        <x:v>固定压缩量插值</x:v>
      </x:c>
    </x:row>
    <x:row r="65" ht="25" customHeight="1">
      <x:c r="A65" s="4" t="str">
        <x:v>28-NH8</x:v>
      </x:c>
      <x:c r="B65" s="4" t="str">
        <x:v>diverse_28</x:v>
      </x:c>
      <x:c r="C65" s="4" t="str">
        <x:v>28-S40</x:v>
      </x:c>
      <x:c r="D65" s="20" t="n">
        <x:v>1</x:v>
      </x:c>
      <x:c r="E65" s="20" t="n">
        <x:v>0.38476980439553066</x:v>
      </x:c>
      <x:c r="F65" s="20" t="n">
        <x:v>0.36943723478252233</x:v>
      </x:c>
      <x:c r="G65" s="20" t="n">
        <x:f>E65-F65</x:f>
        <x:v>0.015332569613008329</x:v>
      </x:c>
      <x:c r="H65" s="21" t="n">
        <x:f>E65/F65-1</x:f>
        <x:v>0.041502502101701255</x:v>
      </x:c>
      <x:c r="I65" s="21" t="n">
        <x:v>0.006835491375433337</x:v>
      </x:c>
      <x:c r="J65" s="4" t="str">
        <x:v>否</x:v>
      </x:c>
      <x:c r="K65" s="4" t="str">
        <x:v>固定压缩量插值</x:v>
      </x:c>
    </x:row>
    <x:row r="66" ht="25" customHeight="1">
      <x:c r="A66" s="4" t="str">
        <x:v>28-NH8</x:v>
      </x:c>
      <x:c r="B66" s="4" t="str">
        <x:v>diverse_28</x:v>
      </x:c>
      <x:c r="C66" s="4" t="str">
        <x:v>28-S40</x:v>
      </x:c>
      <x:c r="D66" s="20" t="n">
        <x:v>5</x:v>
      </x:c>
      <x:c r="E66" s="20" t="n">
        <x:v>1.6873934004752777</x:v>
      </x:c>
      <x:c r="F66" s="20" t="n">
        <x:v>1.6103992253526205</x:v>
      </x:c>
      <x:c r="G66" s="20" t="n">
        <x:f>E66-F66</x:f>
        <x:v>0.07699417512265727</x:v>
      </x:c>
      <x:c r="H66" s="21" t="n">
        <x:f>E66/F66-1</x:f>
        <x:v>0.04781061361091887</x:v>
      </x:c>
      <x:c r="I66" s="21" t="n">
        <x:v>0.03432516748940861</x:v>
      </x:c>
      <x:c r="J66" s="4" t="str">
        <x:v>否</x:v>
      </x:c>
      <x:c r="K66" s="4" t="str">
        <x:v>固定压缩量插值</x:v>
      </x:c>
    </x:row>
    <x:row r="67" ht="25" customHeight="1">
      <x:c r="A67" s="4" t="str">
        <x:v>28-NH8</x:v>
      </x:c>
      <x:c r="B67" s="4" t="str">
        <x:v>diverse_28</x:v>
      </x:c>
      <x:c r="C67" s="4" t="str">
        <x:v>28-S40</x:v>
      </x:c>
      <x:c r="D67" s="20" t="n">
        <x:v>10</x:v>
      </x:c>
      <x:c r="E67" s="20" t="n">
        <x:v>2.3886668489292853</x:v>
      </x:c>
      <x:c r="F67" s="20" t="n">
        <x:v>2.2387674044908055</x:v>
      </x:c>
      <x:c r="G67" s="20" t="n">
        <x:f>E67-F67</x:f>
        <x:v>0.1498994444384798</x:v>
      </x:c>
      <x:c r="H67" s="21" t="n">
        <x:f>E67/F67-1</x:f>
        <x:v>0.06695623857029198</x:v>
      </x:c>
      <x:c r="I67" s="21" t="n">
        <x:v>0.06682743894227385</x:v>
      </x:c>
      <x:c r="J67" s="4" t="str">
        <x:v>否</x:v>
      </x:c>
      <x:c r="K67" s="4" t="str">
        <x:v>固定压缩量插值</x:v>
      </x:c>
    </x:row>
    <x:row r="68" ht="25" customHeight="1">
      <x:c r="A68" s="4" t="str">
        <x:v>28-NH8</x:v>
      </x:c>
      <x:c r="B68" s="4" t="str">
        <x:v>diverse_28</x:v>
      </x:c>
      <x:c r="C68" s="4" t="str">
        <x:v>28-S40</x:v>
      </x:c>
      <x:c r="D68" s="20" t="n">
        <x:v>12</x:v>
      </x:c>
      <x:c r="E68" s="20" t="n">
        <x:v>2.379526504145467</x:v>
      </x:c>
      <x:c r="F68" s="20" t="n">
        <x:v>2.219805912481243</x:v>
      </x:c>
      <x:c r="G68" s="20" t="n">
        <x:f>E68-F68</x:f>
        <x:v>0.15972059166422392</x:v>
      </x:c>
      <x:c r="H68" s="21" t="n">
        <x:f>E68/F68-1</x:f>
        <x:v>0.07195250303919232</x:v>
      </x:c>
      <x:c r="I68" s="21" t="n">
        <x:v>0.07120585487990501</x:v>
      </x:c>
      <x:c r="J68" s="4" t="str">
        <x:v>否</x:v>
      </x:c>
      <x:c r="K68" s="4" t="str">
        <x:v>固定压缩量插值</x:v>
      </x:c>
    </x:row>
    <x:row r="69" ht="25" customHeight="1">
      <x:c r="A69" s="4" t="str">
        <x:v>28-NH8</x:v>
      </x:c>
      <x:c r="B69" s="4" t="str">
        <x:v>diverse_28</x:v>
      </x:c>
      <x:c r="C69" s="4" t="str">
        <x:v>28-S40</x:v>
      </x:c>
      <x:c r="D69" s="20" t="n">
        <x:v>14.000000000000002</x:v>
      </x:c>
      <x:c r="E69" s="20" t="n">
        <x:v>2.304278114734555</x:v>
      </x:c>
      <x:c r="F69" s="20" t="n">
        <x:v>2.1398810963393506</x:v>
      </x:c>
      <x:c r="G69" s="20" t="n">
        <x:f>E69-F69</x:f>
        <x:v>0.16439701839520415</x:v>
      </x:c>
      <x:c r="H69" s="21" t="n">
        <x:f>E69/F69-1</x:f>
        <x:v>0.07682530523608744</x:v>
      </x:c>
      <x:c r="I69" s="21" t="n">
        <x:v>0.07329067662826617</x:v>
      </x:c>
      <x:c r="J69" s="4" t="str">
        <x:v>否</x:v>
      </x:c>
      <x:c r="K69" s="4" t="str">
        <x:v>固定压缩量插值</x:v>
      </x:c>
    </x:row>
    <x:row r="70" ht="25" customHeight="1">
      <x:c r="A70" s="4" t="str">
        <x:v>28-NH8</x:v>
      </x:c>
      <x:c r="B70" s="4" t="str">
        <x:v>diverse_28</x:v>
      </x:c>
      <x:c r="C70" s="4" t="str">
        <x:v>28-S40</x:v>
      </x:c>
      <x:c r="D70" s="20" t="n">
        <x:v>15</x:v>
      </x:c>
      <x:c r="E70" s="20" t="n">
        <x:v>2.255976479347413</x:v>
      </x:c>
      <x:c r="F70" s="20" t="n">
        <x:v>2.0904140550078156</x:v>
      </x:c>
      <x:c r="G70" s="20" t="n">
        <x:f>E70-F70</x:f>
        <x:v>0.16556242433959723</x:v>
      </x:c>
      <x:c r="H70" s="21" t="n">
        <x:f>E70/F70-1</x:f>
        <x:v>0.07920078031573419</x:v>
      </x:c>
      <x:c r="I70" s="21" t="n">
        <x:v>0.07381023222024073</x:v>
      </x:c>
      <x:c r="J70" s="4" t="str">
        <x:v>否</x:v>
      </x:c>
      <x:c r="K70" s="4" t="str">
        <x:v>固定压缩量插值</x:v>
      </x:c>
    </x:row>
    <x:row r="71" ht="25" customHeight="1">
      <x:c r="A71" s="4" t="str">
        <x:v>28-NH8</x:v>
      </x:c>
      <x:c r="B71" s="4" t="str">
        <x:v>diverse_28</x:v>
      </x:c>
      <x:c r="C71" s="4" t="str">
        <x:v>28-S40</x:v>
      </x:c>
      <x:c r="D71" s="20" t="n">
        <x:v>16</x:v>
      </x:c>
      <x:c r="E71" s="20" t="n">
        <x:v>2.204886690320952</x:v>
      </x:c>
      <x:c r="F71" s="20" t="n">
        <x:v>2.038506473209727</x:v>
      </x:c>
      <x:c r="G71" s="20" t="n">
        <x:f>E71-F71</x:f>
        <x:v>0.1663802171112252</x:v>
      </x:c>
      <x:c r="H71" s="21" t="n">
        <x:f>E71/F71-1</x:f>
        <x:v>0.08161868470756017</x:v>
      </x:c>
      <x:c r="I71" s="21" t="n">
        <x:v>0.07417481660357932</x:v>
      </x:c>
      <x:c r="J71" s="4" t="str">
        <x:v>否</x:v>
      </x:c>
      <x:c r="K71" s="4" t="str">
        <x:v>固定压缩量插值</x:v>
      </x:c>
    </x:row>
    <x:row r="72" ht="25" customHeight="1">
      <x:c r="A72" s="4" t="str">
        <x:v>28-NH8</x:v>
      </x:c>
      <x:c r="B72" s="4" t="str">
        <x:v>diverse_28</x:v>
      </x:c>
      <x:c r="C72" s="4" t="str">
        <x:v>28-S40</x:v>
      </x:c>
      <x:c r="D72" s="20" t="n">
        <x:v>18</x:v>
      </x:c>
      <x:c r="E72" s="20" t="n">
        <x:v>2.100485121384289</x:v>
      </x:c>
      <x:c r="F72" s="20" t="n">
        <x:v>1.9333123185934167</x:v>
      </x:c>
      <x:c r="G72" s="20" t="n">
        <x:f>E72-F72</x:f>
        <x:v>0.1671728027908721</x:v>
      </x:c>
      <x:c r="H72" s="21" t="n">
        <x:f>E72/F72-1</x:f>
        <x:v>0.08646963099707494</x:v>
      </x:c>
      <x:c r="I72" s="21" t="n">
        <x:v>0.07452816328415933</x:v>
      </x:c>
      <x:c r="J72" s="4" t="str">
        <x:v>否</x:v>
      </x:c>
      <x:c r="K72" s="4" t="str">
        <x:v>固定压缩量插值</x:v>
      </x:c>
    </x:row>
    <x:row r="73" ht="25" customHeight="1">
      <x:c r="A73" s="4" t="str">
        <x:v>28-NH8</x:v>
      </x:c>
      <x:c r="B73" s="4" t="str">
        <x:v>diverse_28</x:v>
      </x:c>
      <x:c r="C73" s="4" t="str">
        <x:v>28-S40</x:v>
      </x:c>
      <x:c r="D73" s="20" t="n">
        <x:v>20</x:v>
      </x:c>
      <x:c r="E73" s="20" t="n">
        <x:v>2.0046920429385335</x:v>
      </x:c>
      <x:c r="F73" s="20" t="n">
        <x:v>1.8314450142940606</x:v>
      </x:c>
      <x:c r="G73" s="20" t="n">
        <x:f>E73-F73</x:f>
        <x:v>0.17324702864447294</x:v>
      </x:c>
      <x:c r="H73" s="21" t="n">
        <x:f>E73/F73-1</x:f>
        <x:v>0.09459581220965663</x:v>
      </x:c>
      <x:c r="I73" s="21" t="n">
        <x:v>0.07723614501733839</x:v>
      </x:c>
      <x:c r="J73" s="4" t="str">
        <x:v>否</x:v>
      </x:c>
      <x:c r="K73" s="4" t="str">
        <x:v>固定压缩量插值</x:v>
      </x:c>
    </x:row>
    <x:row r="74" ht="25" customHeight="1">
      <x:c r="A74" s="4" t="str">
        <x:v>04-J17</x:v>
      </x:c>
      <x:c r="B74" s="4" t="str">
        <x:v>diverse_04</x:v>
      </x:c>
      <x:c r="C74" s="4" t="str">
        <x:v>04-S4</x:v>
      </x:c>
      <x:c r="D74" s="20" t="n">
        <x:v>1</x:v>
      </x:c>
      <x:c r="E74" s="20" t="n">
        <x:v>0.5006507289302063</x:v>
      </x:c>
      <x:c r="F74" s="20" t="n">
        <x:v>0.474663133142886</x:v>
      </x:c>
      <x:c r="G74" s="20" t="n">
        <x:f>E74-F74</x:f>
        <x:v>0.02598759578732035</x:v>
      </x:c>
      <x:c r="H74" s="21" t="n">
        <x:f>E74/F74-1</x:f>
        <x:v>0.05474955599616238</x:v>
      </x:c>
      <x:c r="I74" s="21" t="n">
        <x:v>0.0049689588770842705</x:v>
      </x:c>
      <x:c r="J74" s="4" t="str">
        <x:v>是</x:v>
      </x:c>
      <x:c r="K74" s="4" t="str">
        <x:v>固定压缩量插值</x:v>
      </x:c>
    </x:row>
    <x:row r="75" ht="25" customHeight="1">
      <x:c r="A75" s="4" t="str">
        <x:v>04-J17</x:v>
      </x:c>
      <x:c r="B75" s="4" t="str">
        <x:v>diverse_04</x:v>
      </x:c>
      <x:c r="C75" s="4" t="str">
        <x:v>04-S4</x:v>
      </x:c>
      <x:c r="D75" s="20" t="n">
        <x:v>5</x:v>
      </x:c>
      <x:c r="E75" s="20" t="n">
        <x:v>2.471316564441201</x:v>
      </x:c>
      <x:c r="F75" s="20" t="n">
        <x:v>2.325966645911184</x:v>
      </x:c>
      <x:c r="G75" s="20" t="n">
        <x:f>E75-F75</x:f>
        <x:v>0.14534991853001733</x:v>
      </x:c>
      <x:c r="H75" s="21" t="n">
        <x:f>E75/F75-1</x:f>
        <x:v>0.0624901129969031</x:v>
      </x:c>
      <x:c r="I75" s="21" t="n">
        <x:v>0.027791634665781332</x:v>
      </x:c>
      <x:c r="J75" s="4" t="str">
        <x:v>是</x:v>
      </x:c>
      <x:c r="K75" s="4" t="str">
        <x:v>固定压缩量插值</x:v>
      </x:c>
    </x:row>
    <x:row r="76" ht="25" customHeight="1">
      <x:c r="A76" s="4" t="str">
        <x:v>04-J17</x:v>
      </x:c>
      <x:c r="B76" s="4" t="str">
        <x:v>diverse_04</x:v>
      </x:c>
      <x:c r="C76" s="4" t="str">
        <x:v>04-S4</x:v>
      </x:c>
      <x:c r="D76" s="20" t="n">
        <x:v>10</x:v>
      </x:c>
      <x:c r="E76" s="20" t="n">
        <x:v>4.849377430394925</x:v>
      </x:c>
      <x:c r="F76" s="20" t="n">
        <x:v>4.536357579674203</x:v>
      </x:c>
      <x:c r="G76" s="20" t="n">
        <x:f>E76-F76</x:f>
        <x:v>0.313019850720722</x:v>
      </x:c>
      <x:c r="H76" s="21" t="n">
        <x:f>E76/F76-1</x:f>
        <x:v>0.06900246403044852</x:v>
      </x:c>
      <x:c r="I76" s="21" t="n">
        <x:v>0.05985096807997969</x:v>
      </x:c>
      <x:c r="J76" s="4" t="str">
        <x:v>是</x:v>
      </x:c>
      <x:c r="K76" s="4" t="str">
        <x:v>固定压缩量插值</x:v>
      </x:c>
    </x:row>
    <x:row r="77" ht="25" customHeight="1">
      <x:c r="A77" s="4" t="str">
        <x:v>04-J17</x:v>
      </x:c>
      <x:c r="B77" s="4" t="str">
        <x:v>diverse_04</x:v>
      </x:c>
      <x:c r="C77" s="4" t="str">
        <x:v>04-S4</x:v>
      </x:c>
      <x:c r="D77" s="20" t="n">
        <x:v>12</x:v>
      </x:c>
      <x:c r="E77" s="20" t="n">
        <x:v>5.729774551687645</x:v>
      </x:c>
      <x:c r="F77" s="20" t="n">
        <x:v>5.055781124276235</x:v>
      </x:c>
      <x:c r="G77" s="20" t="n">
        <x:f>E77-F77</x:f>
        <x:v>0.6739934274114097</x:v>
      </x:c>
      <x:c r="H77" s="21" t="n">
        <x:f>E77/F77-1</x:f>
        <x:v>0.13331143315819394</x:v>
      </x:c>
      <x:c r="I77" s="21" t="n">
        <x:v>0.1288709294865366</x:v>
      </x:c>
      <x:c r="J77" s="4" t="str">
        <x:v>是</x:v>
      </x:c>
      <x:c r="K77" s="4" t="str">
        <x:v>固定压缩量插值</x:v>
      </x:c>
    </x:row>
    <x:row r="78" ht="25" customHeight="1">
      <x:c r="A78" s="4" t="str">
        <x:v>04-J17</x:v>
      </x:c>
      <x:c r="B78" s="4" t="str">
        <x:v>diverse_04</x:v>
      </x:c>
      <x:c r="C78" s="4" t="str">
        <x:v>04-S4</x:v>
      </x:c>
      <x:c r="D78" s="20" t="n">
        <x:v>14.000000000000002</x:v>
      </x:c>
      <x:c r="E78" s="20" t="n">
        <x:v>6.528204878780469</x:v>
      </x:c>
      <x:c r="F78" s="20" t="n">
        <x:v>1.8337604214463437</x:v>
      </x:c>
      <x:c r="G78" s="20" t="n">
        <x:f>E78-F78</x:f>
        <x:v>4.694444457334126</x:v>
      </x:c>
      <x:c r="H78" s="21" t="n">
        <x:f>E78/F78-1</x:f>
        <x:v>2.5600096950677296</x:v>
      </x:c>
      <x:c r="I78" s="21" t="n">
        <x:v>0.8976013652879243</x:v>
      </x:c>
      <x:c r="J78" s="4" t="str">
        <x:v>是</x:v>
      </x:c>
      <x:c r="K78" s="4" t="str">
        <x:v>固定压缩量插值</x:v>
      </x:c>
    </x:row>
    <x:row r="79" ht="25" customHeight="1">
      <x:c r="A79" s="4" t="str">
        <x:v>04-J17</x:v>
      </x:c>
      <x:c r="B79" s="4" t="str">
        <x:v>diverse_04</x:v>
      </x:c>
      <x:c r="C79" s="4" t="str">
        <x:v>04-S4</x:v>
      </x:c>
      <x:c r="D79" s="20" t="n">
        <x:v>15</x:v>
      </x:c>
      <x:c r="E79" s="20" t="n">
        <x:v>6.871197158310682</x:v>
      </x:c>
      <x:c r="F79" s="20" t="n">
        <x:v>1.6683822019690941</x:v>
      </x:c>
      <x:c r="G79" s="20" t="n">
        <x:f>E79-F79</x:f>
        <x:v>5.202814956341588</x:v>
      </x:c>
      <x:c r="H79" s="21" t="n">
        <x:f>E79/F79-1</x:f>
        <x:v>3.1184790572573897</x:v>
      </x:c>
      <x:c r="I79" s="21" t="n">
        <x:v>0.9948043587685059</x:v>
      </x:c>
      <x:c r="J79" s="4" t="str">
        <x:v>是</x:v>
      </x:c>
      <x:c r="K79" s="4" t="str">
        <x:v>固定压缩量插值</x:v>
      </x:c>
    </x:row>
    <x:row r="80" ht="25" customHeight="1">
      <x:c r="A80" s="4" t="str">
        <x:v>04-J64</x:v>
      </x:c>
      <x:c r="B80" s="4" t="str">
        <x:v>diverse_04</x:v>
      </x:c>
      <x:c r="C80" s="4" t="str">
        <x:v>04-S2</x:v>
      </x:c>
      <x:c r="D80" s="20" t="n">
        <x:v>1</x:v>
      </x:c>
      <x:c r="E80" s="20" t="n">
        <x:v>0.5296909299611144</x:v>
      </x:c>
      <x:c r="F80" s="20" t="n">
        <x:v>0.5005862846829565</x:v>
      </x:c>
      <x:c r="G80" s="20" t="n">
        <x:f>E80-F80</x:f>
        <x:v>0.029104645278157926</x:v>
      </x:c>
      <x:c r="H80" s="21" t="n">
        <x:f>E80/F80-1</x:f>
        <x:v>0.05814111606471828</x:v>
      </x:c>
      <x:c r="I80" s="21" t="n">
        <x:v>0.005449375615753884</x:v>
      </x:c>
      <x:c r="J80" s="4" t="str">
        <x:v>是</x:v>
      </x:c>
      <x:c r="K80" s="4" t="str">
        <x:v>固定压缩量插值</x:v>
      </x:c>
    </x:row>
    <x:row r="81" ht="25" customHeight="1">
      <x:c r="A81" s="4" t="str">
        <x:v>04-J64</x:v>
      </x:c>
      <x:c r="B81" s="4" t="str">
        <x:v>diverse_04</x:v>
      </x:c>
      <x:c r="C81" s="4" t="str">
        <x:v>04-S2</x:v>
      </x:c>
      <x:c r="D81" s="20" t="n">
        <x:v>5</x:v>
      </x:c>
      <x:c r="E81" s="20" t="n">
        <x:v>2.5215996528172133</x:v>
      </x:c>
      <x:c r="F81" s="20" t="n">
        <x:v>2.34500904293091</x:v>
      </x:c>
      <x:c r="G81" s="20" t="n">
        <x:f>E81-F81</x:f>
        <x:v>0.17659060988630326</x:v>
      </x:c>
      <x:c r="H81" s="21" t="n">
        <x:f>E81/F81-1</x:f>
        <x:v>0.0753048737354085</x:v>
      </x:c>
      <x:c r="I81" s="21" t="n">
        <x:v>0.033063744783301256</x:v>
      </x:c>
      <x:c r="J81" s="4" t="str">
        <x:v>是</x:v>
      </x:c>
      <x:c r="K81" s="4" t="str">
        <x:v>固定压缩量插值</x:v>
      </x:c>
    </x:row>
    <x:row r="82" ht="25" customHeight="1">
      <x:c r="A82" s="4" t="str">
        <x:v>04-J64</x:v>
      </x:c>
      <x:c r="B82" s="4" t="str">
        <x:v>diverse_04</x:v>
      </x:c>
      <x:c r="C82" s="4" t="str">
        <x:v>04-S2</x:v>
      </x:c>
      <x:c r="D82" s="20" t="n">
        <x:v>10</x:v>
      </x:c>
      <x:c r="E82" s="20" t="n">
        <x:v>4.917504202687777</x:v>
      </x:c>
      <x:c r="F82" s="20" t="n">
        <x:v>4.539065201274552</x:v>
      </x:c>
      <x:c r="G82" s="20" t="n">
        <x:f>E82-F82</x:f>
        <x:v>0.3784390014132253</x:v>
      </x:c>
      <x:c r="H82" s="21" t="n">
        <x:f>E82/F82-1</x:f>
        <x:v>0.08337377513479227</x:v>
      </x:c>
      <x:c r="I82" s="21" t="n">
        <x:v>0.07085660198370926</x:v>
      </x:c>
      <x:c r="J82" s="4" t="str">
        <x:v>是</x:v>
      </x:c>
      <x:c r="K82" s="4" t="str">
        <x:v>固定压缩量插值</x:v>
      </x:c>
    </x:row>
    <x:row r="83" ht="25" customHeight="1">
      <x:c r="A83" s="4" t="str">
        <x:v>04-J64</x:v>
      </x:c>
      <x:c r="B83" s="4" t="str">
        <x:v>diverse_04</x:v>
      </x:c>
      <x:c r="C83" s="4" t="str">
        <x:v>04-S2</x:v>
      </x:c>
      <x:c r="D83" s="20" t="n">
        <x:v>12</x:v>
      </x:c>
      <x:c r="E83" s="20" t="n">
        <x:v>5.7989084025455595</x:v>
      </x:c>
      <x:c r="F83" s="20" t="n">
        <x:v>5.306275833465805</x:v>
      </x:c>
      <x:c r="G83" s="20" t="n">
        <x:f>E83-F83</x:f>
        <x:v>0.4926325690797544</x:v>
      </x:c>
      <x:c r="H83" s="21" t="n">
        <x:f>E83/F83-1</x:f>
        <x:v>0.09283960814339931</x:v>
      </x:c>
      <x:c r="I83" s="21" t="n">
        <x:v>0.09223750654965249</x:v>
      </x:c>
      <x:c r="J83" s="4" t="str">
        <x:v>是</x:v>
      </x:c>
      <x:c r="K83" s="4" t="str">
        <x:v>固定压缩量插值</x:v>
      </x:c>
    </x:row>
    <x:row r="84" ht="25" customHeight="1">
      <x:c r="A84" s="4" t="str">
        <x:v>04-J64</x:v>
      </x:c>
      <x:c r="B84" s="4" t="str">
        <x:v>diverse_04</x:v>
      </x:c>
      <x:c r="C84" s="4" t="str">
        <x:v>04-S2</x:v>
      </x:c>
      <x:c r="D84" s="20" t="n">
        <x:v>14.000000000000002</x:v>
      </x:c>
      <x:c r="E84" s="20" t="n">
        <x:v>6.493599588784862</x:v>
      </x:c>
      <x:c r="F84" s="20" t="n">
        <x:v>1.403652035781095</x:v>
      </x:c>
      <x:c r="G84" s="20" t="n">
        <x:f>E84-F84</x:f>
        <x:v>5.089947553003768</x:v>
      </x:c>
      <x:c r="H84" s="21" t="n">
        <x:f>E84/F84-1</x:f>
        <x:v>3.626217483574087</x:v>
      </x:c>
      <x:c r="I84" s="21" t="n">
        <x:v>0.953010621353307</x:v>
      </x:c>
      <x:c r="J84" s="4" t="str">
        <x:v>是</x:v>
      </x:c>
      <x:c r="K84" s="4" t="str">
        <x:v>固定压缩量插值</x:v>
      </x:c>
    </x:row>
    <x:row r="85" ht="25" customHeight="1">
      <x:c r="A85" s="4" t="str">
        <x:v>28-OV</x:v>
      </x:c>
      <x:c r="B85" s="4" t="str">
        <x:v>diverse_28</x:v>
      </x:c>
      <x:c r="C85" s="4" t="str">
        <x:v>28-S40</x:v>
      </x:c>
      <x:c r="D85" s="20" t="n">
        <x:v>1</x:v>
      </x:c>
      <x:c r="E85" s="20" t="n">
        <x:v>0.3956527281295133</x:v>
      </x:c>
      <x:c r="F85" s="20" t="n">
        <x:v>0.36943723478252233</x:v>
      </x:c>
      <x:c r="G85" s="20" t="n">
        <x:f>E85-F85</x:f>
        <x:v>0.02621549334699097</x:v>
      </x:c>
      <x:c r="H85" s="21" t="n">
        <x:f>E85/F85-1</x:f>
        <x:v>0.07096061489964134</x:v>
      </x:c>
      <x:c r="I85" s="21" t="n">
        <x:v>0.011687263335433028</x:v>
      </x:c>
      <x:c r="J85" s="4" t="str">
        <x:v>否</x:v>
      </x:c>
      <x:c r="K85" s="4" t="str">
        <x:v>固定压缩量插值</x:v>
      </x:c>
    </x:row>
    <x:row r="86" ht="25" customHeight="1">
      <x:c r="A86" s="4" t="str">
        <x:v>28-OV</x:v>
      </x:c>
      <x:c r="B86" s="4" t="str">
        <x:v>diverse_28</x:v>
      </x:c>
      <x:c r="C86" s="4" t="str">
        <x:v>28-S40</x:v>
      </x:c>
      <x:c r="D86" s="20" t="n">
        <x:v>5</x:v>
      </x:c>
      <x:c r="E86" s="20" t="n">
        <x:v>1.7013500443386764</x:v>
      </x:c>
      <x:c r="F86" s="20" t="n">
        <x:v>1.6103992253526205</x:v>
      </x:c>
      <x:c r="G86" s="20" t="n">
        <x:f>E86-F86</x:f>
        <x:v>0.09095081898605595</x:v>
      </x:c>
      <x:c r="H86" s="21" t="n">
        <x:f>E86/F86-1</x:f>
        <x:v>0.05647718749128239</x:v>
      </x:c>
      <x:c r="I86" s="21" t="n">
        <x:v>0.040547250360457004</x:v>
      </x:c>
      <x:c r="J86" s="4" t="str">
        <x:v>否</x:v>
      </x:c>
      <x:c r="K86" s="4" t="str">
        <x:v>固定压缩量插值</x:v>
      </x:c>
    </x:row>
    <x:row r="87" ht="25" customHeight="1">
      <x:c r="A87" s="4" t="str">
        <x:v>28-OV</x:v>
      </x:c>
      <x:c r="B87" s="4" t="str">
        <x:v>diverse_28</x:v>
      </x:c>
      <x:c r="C87" s="4" t="str">
        <x:v>28-S40</x:v>
      </x:c>
      <x:c r="D87" s="20" t="n">
        <x:v>10</x:v>
      </x:c>
      <x:c r="E87" s="20" t="n">
        <x:v>2.377093064371704</x:v>
      </x:c>
      <x:c r="F87" s="20" t="n">
        <x:v>2.2387674044908055</x:v>
      </x:c>
      <x:c r="G87" s="20" t="n">
        <x:f>E87-F87</x:f>
        <x:v>0.1383256598808984</x:v>
      </x:c>
      <x:c r="H87" s="21" t="n">
        <x:f>E87/F87-1</x:f>
        <x:v>0.061786525747796306</x:v>
      </x:c>
      <x:c r="I87" s="21" t="n">
        <x:v>0.06166767078068981</x:v>
      </x:c>
      <x:c r="J87" s="4" t="str">
        <x:v>否</x:v>
      </x:c>
      <x:c r="K87" s="4" t="str">
        <x:v>固定压缩量插值</x:v>
      </x:c>
    </x:row>
    <x:row r="88" ht="25" customHeight="1">
      <x:c r="A88" s="4" t="str">
        <x:v>28-OV</x:v>
      </x:c>
      <x:c r="B88" s="4" t="str">
        <x:v>diverse_28</x:v>
      </x:c>
      <x:c r="C88" s="4" t="str">
        <x:v>28-S40</x:v>
      </x:c>
      <x:c r="D88" s="20" t="n">
        <x:v>12</x:v>
      </x:c>
      <x:c r="E88" s="20" t="n">
        <x:v>2.3513818413749186</x:v>
      </x:c>
      <x:c r="F88" s="20" t="n">
        <x:v>2.219805912481243</x:v>
      </x:c>
      <x:c r="G88" s="20" t="n">
        <x:f>E88-F88</x:f>
        <x:v>0.13157592889367553</x:v>
      </x:c>
      <x:c r="H88" s="21" t="n">
        <x:f>E88/F88-1</x:f>
        <x:v>0.059273618541993756</x:v>
      </x:c>
      <x:c r="I88" s="21" t="n">
        <x:v>0.0586585386447096</x:v>
      </x:c>
      <x:c r="J88" s="4" t="str">
        <x:v>否</x:v>
      </x:c>
      <x:c r="K88" s="4" t="str">
        <x:v>固定压缩量插值</x:v>
      </x:c>
    </x:row>
    <x:row r="89" ht="25" customHeight="1">
      <x:c r="A89" s="4" t="str">
        <x:v>28-OV</x:v>
      </x:c>
      <x:c r="B89" s="4" t="str">
        <x:v>diverse_28</x:v>
      </x:c>
      <x:c r="C89" s="4" t="str">
        <x:v>28-S40</x:v>
      </x:c>
      <x:c r="D89" s="20" t="n">
        <x:v>14.000000000000002</x:v>
      </x:c>
      <x:c r="E89" s="20" t="n">
        <x:v>2.265286495028792</x:v>
      </x:c>
      <x:c r="F89" s="20" t="n">
        <x:v>2.1398810963393506</x:v>
      </x:c>
      <x:c r="G89" s="20" t="n">
        <x:f>E89-F89</x:f>
        <x:v>0.12540539868944123</x:v>
      </x:c>
      <x:c r="H89" s="21" t="n">
        <x:f>E89/F89-1</x:f>
        <x:v>0.058603909770486684</x:v>
      </x:c>
      <x:c r="I89" s="21" t="n">
        <x:v>0.05590762297581156</x:v>
      </x:c>
      <x:c r="J89" s="4" t="str">
        <x:v>否</x:v>
      </x:c>
      <x:c r="K89" s="4" t="str">
        <x:v>固定压缩量插值</x:v>
      </x:c>
    </x:row>
    <x:row r="90" ht="25" customHeight="1">
      <x:c r="A90" s="4" t="str">
        <x:v>28-OV</x:v>
      </x:c>
      <x:c r="B90" s="4" t="str">
        <x:v>diverse_28</x:v>
      </x:c>
      <x:c r="C90" s="4" t="str">
        <x:v>28-S40</x:v>
      </x:c>
      <x:c r="D90" s="20" t="n">
        <x:v>15</x:v>
      </x:c>
      <x:c r="E90" s="20" t="n">
        <x:v>2.210644409654448</x:v>
      </x:c>
      <x:c r="F90" s="20" t="n">
        <x:v>2.0904140550078156</x:v>
      </x:c>
      <x:c r="G90" s="20" t="n">
        <x:f>E90-F90</x:f>
        <x:v>0.12023035464663234</x:v>
      </x:c>
      <x:c r="H90" s="21" t="n">
        <x:f>E90/F90-1</x:f>
        <x:v>0.05751509102161245</x:v>
      </x:c>
      <x:c r="I90" s="21" t="n">
        <x:v>0.05360051009030435</x:v>
      </x:c>
      <x:c r="J90" s="4" t="str">
        <x:v>否</x:v>
      </x:c>
      <x:c r="K90" s="4" t="str">
        <x:v>固定压缩量插值</x:v>
      </x:c>
    </x:row>
    <x:row r="91" ht="25" customHeight="1">
      <x:c r="A91" s="4" t="str">
        <x:v>28-OV</x:v>
      </x:c>
      <x:c r="B91" s="4" t="str">
        <x:v>diverse_28</x:v>
      </x:c>
      <x:c r="C91" s="4" t="str">
        <x:v>28-S40</x:v>
      </x:c>
      <x:c r="D91" s="20" t="n">
        <x:v>16</x:v>
      </x:c>
      <x:c r="E91" s="20" t="n">
        <x:v>2.158397987425347</x:v>
      </x:c>
      <x:c r="F91" s="20" t="n">
        <x:v>2.038506473209727</x:v>
      </x:c>
      <x:c r="G91" s="20" t="n">
        <x:f>E91-F91</x:f>
        <x:v>0.11989151421562028</x:v>
      </x:c>
      <x:c r="H91" s="21" t="n">
        <x:f>E91/F91-1</x:f>
        <x:v>0.05881340863580653</x:v>
      </x:c>
      <x:c r="I91" s="21" t="n">
        <x:v>0.05344944990259348</x:v>
      </x:c>
      <x:c r="J91" s="4" t="str">
        <x:v>否</x:v>
      </x:c>
      <x:c r="K91" s="4" t="str">
        <x:v>固定压缩量插值</x:v>
      </x:c>
    </x:row>
    <x:row r="92" ht="25" customHeight="1">
      <x:c r="A92" s="4" t="str">
        <x:v>28-OV</x:v>
      </x:c>
      <x:c r="B92" s="4" t="str">
        <x:v>diverse_28</x:v>
      </x:c>
      <x:c r="C92" s="4" t="str">
        <x:v>28-S40</x:v>
      </x:c>
      <x:c r="D92" s="20" t="n">
        <x:v>18</x:v>
      </x:c>
      <x:c r="E92" s="20" t="n">
        <x:v>2.045156229438034</x:v>
      </x:c>
      <x:c r="F92" s="20" t="n">
        <x:v>1.9333123185934167</x:v>
      </x:c>
      <x:c r="G92" s="20" t="n">
        <x:f>E92-F92</x:f>
        <x:v>0.1118439108446172</x:v>
      </x:c>
      <x:c r="H92" s="21" t="n">
        <x:f>E92/F92-1</x:f>
        <x:v>0.05785092753455867</x:v>
      </x:c>
      <x:c r="I92" s="21" t="n">
        <x:v>0.04986170663295072</x:v>
      </x:c>
      <x:c r="J92" s="4" t="str">
        <x:v>否</x:v>
      </x:c>
      <x:c r="K92" s="4" t="str">
        <x:v>固定压缩量插值</x:v>
      </x:c>
    </x:row>
    <x:row r="93" ht="25" customHeight="1">
      <x:c r="A93" s="4" t="str">
        <x:v>28-OV</x:v>
      </x:c>
      <x:c r="B93" s="4" t="str">
        <x:v>diverse_28</x:v>
      </x:c>
      <x:c r="C93" s="4" t="str">
        <x:v>28-S40</x:v>
      </x:c>
      <x:c r="D93" s="20" t="n">
        <x:v>20</x:v>
      </x:c>
      <x:c r="E93" s="20" t="n">
        <x:v>1.9564147704860257</x:v>
      </x:c>
      <x:c r="F93" s="20" t="n">
        <x:v>1.8314450142940606</x:v>
      </x:c>
      <x:c r="G93" s="20" t="n">
        <x:f>E93-F93</x:f>
        <x:v>0.12496975619196515</x:v>
      </x:c>
      <x:c r="H93" s="21" t="n">
        <x:f>E93/F93-1</x:f>
        <x:v>0.06823560369904702</x:v>
      </x:c>
      <x:c r="I93" s="21" t="n">
        <x:v>0.05571340696313855</x:v>
      </x:c>
      <x:c r="J93" s="4" t="str">
        <x:v>否</x:v>
      </x:c>
      <x:c r="K93" s="4" t="str">
        <x:v>固定压缩量插值</x:v>
      </x:c>
    </x:row>
    <x:row r="94" ht="25" customHeight="1">
      <x:c r="A94" s="4" t="str">
        <x:v>04-J18</x:v>
      </x:c>
      <x:c r="B94" s="4" t="str">
        <x:v>diverse_04</x:v>
      </x:c>
      <x:c r="C94" s="4" t="str">
        <x:v>04-S4</x:v>
      </x:c>
      <x:c r="D94" s="20" t="n">
        <x:v>1</x:v>
      </x:c>
      <x:c r="E94" s="20" t="n">
        <x:v>0.5006483078186619</x:v>
      </x:c>
      <x:c r="F94" s="20" t="n">
        <x:v>0.474663133142886</x:v>
      </x:c>
      <x:c r="G94" s="20" t="n">
        <x:f>E94-F94</x:f>
        <x:v>0.02598517467577588</x:v>
      </x:c>
      <x:c r="H94" s="21" t="n">
        <x:f>E94/F94-1</x:f>
        <x:v>0.05474445530184813</x:v>
      </x:c>
      <x:c r="I94" s="21" t="n">
        <x:v>0.004968495948393222</x:v>
      </x:c>
      <x:c r="J94" s="4" t="str">
        <x:v>是</x:v>
      </x:c>
      <x:c r="K94" s="4" t="str">
        <x:v>固定压缩量插值</x:v>
      </x:c>
    </x:row>
    <x:row r="95" ht="25" customHeight="1">
      <x:c r="A95" s="4" t="str">
        <x:v>04-J18</x:v>
      </x:c>
      <x:c r="B95" s="4" t="str">
        <x:v>diverse_04</x:v>
      </x:c>
      <x:c r="C95" s="4" t="str">
        <x:v>04-S4</x:v>
      </x:c>
      <x:c r="D95" s="20" t="n">
        <x:v>5</x:v>
      </x:c>
      <x:c r="E95" s="20" t="n">
        <x:v>2.4713164461401433</x:v>
      </x:c>
      <x:c r="F95" s="20" t="n">
        <x:v>2.325966645911184</x:v>
      </x:c>
      <x:c r="G95" s="20" t="n">
        <x:f>E95-F95</x:f>
        <x:v>0.1453498002289595</x:v>
      </x:c>
      <x:c r="H95" s="21" t="n">
        <x:f>E95/F95-1</x:f>
        <x:v>0.062490062135873714</x:v>
      </x:c>
      <x:c r="I95" s="21" t="n">
        <x:v>0.027791612046024722</x:v>
      </x:c>
      <x:c r="J95" s="4" t="str">
        <x:v>是</x:v>
      </x:c>
      <x:c r="K95" s="4" t="str">
        <x:v>固定压缩量插值</x:v>
      </x:c>
    </x:row>
    <x:row r="96" ht="25" customHeight="1">
      <x:c r="A96" s="4" t="str">
        <x:v>04-J18</x:v>
      </x:c>
      <x:c r="B96" s="4" t="str">
        <x:v>diverse_04</x:v>
      </x:c>
      <x:c r="C96" s="4" t="str">
        <x:v>04-S4</x:v>
      </x:c>
      <x:c r="D96" s="20" t="n">
        <x:v>10</x:v>
      </x:c>
      <x:c r="E96" s="20" t="n">
        <x:v>4.849331417702432</x:v>
      </x:c>
      <x:c r="F96" s="20" t="n">
        <x:v>4.536357579674203</x:v>
      </x:c>
      <x:c r="G96" s="20" t="n">
        <x:f>E96-F96</x:f>
        <x:v>0.3129738380282294</x:v>
      </x:c>
      <x:c r="H96" s="21" t="n">
        <x:f>E96/F96-1</x:f>
        <x:v>0.06899232093840069</x:v>
      </x:c>
      <x:c r="I96" s="21" t="n">
        <x:v>0.0598421702220058</x:v>
      </x:c>
      <x:c r="J96" s="4" t="str">
        <x:v>是</x:v>
      </x:c>
      <x:c r="K96" s="4" t="str">
        <x:v>固定压缩量插值</x:v>
      </x:c>
    </x:row>
    <x:row r="97" ht="25" customHeight="1">
      <x:c r="A97" s="4" t="str">
        <x:v>04-J18</x:v>
      </x:c>
      <x:c r="B97" s="4" t="str">
        <x:v>diverse_04</x:v>
      </x:c>
      <x:c r="C97" s="4" t="str">
        <x:v>04-S4</x:v>
      </x:c>
      <x:c r="D97" s="20" t="n">
        <x:v>12</x:v>
      </x:c>
      <x:c r="E97" s="20" t="n">
        <x:v>5.729865710807766</x:v>
      </x:c>
      <x:c r="F97" s="20" t="n">
        <x:v>5.055781124276235</x:v>
      </x:c>
      <x:c r="G97" s="20" t="n">
        <x:f>E97-F97</x:f>
        <x:v>0.6740845865315306</x:v>
      </x:c>
      <x:c r="H97" s="21" t="n">
        <x:f>E97/F97-1</x:f>
        <x:v>0.13332946382801136</x:v>
      </x:c>
      <x:c r="I97" s="21" t="n">
        <x:v>0.1288883595682902</x:v>
      </x:c>
      <x:c r="J97" s="4" t="str">
        <x:v>是</x:v>
      </x:c>
      <x:c r="K97" s="4" t="str">
        <x:v>固定压缩量插值</x:v>
      </x:c>
    </x:row>
    <x:row r="98" ht="25" customHeight="1">
      <x:c r="A98" s="4" t="str">
        <x:v>04-J18</x:v>
      </x:c>
      <x:c r="B98" s="4" t="str">
        <x:v>diverse_04</x:v>
      </x:c>
      <x:c r="C98" s="4" t="str">
        <x:v>04-S4</x:v>
      </x:c>
      <x:c r="D98" s="20" t="n">
        <x:v>14.000000000000002</x:v>
      </x:c>
      <x:c r="E98" s="20" t="n">
        <x:v>6.528361936981765</x:v>
      </x:c>
      <x:c r="F98" s="20" t="n">
        <x:v>1.8337604214463437</x:v>
      </x:c>
      <x:c r="G98" s="20" t="n">
        <x:f>E98-F98</x:f>
        <x:v>4.694601515535422</x:v>
      </x:c>
      <x:c r="H98" s="21" t="n">
        <x:f>E98/F98-1</x:f>
        <x:v>2.5600953432251767</x:v>
      </x:c>
      <x:c r="I98" s="21" t="n">
        <x:v>0.8976313956050778</x:v>
      </x:c>
      <x:c r="J98" s="4" t="str">
        <x:v>是</x:v>
      </x:c>
      <x:c r="K98" s="4" t="str">
        <x:v>固定压缩量插值</x:v>
      </x:c>
    </x:row>
    <x:row r="99" ht="25" customHeight="1">
      <x:c r="A99" s="4" t="str">
        <x:v>04-J18</x:v>
      </x:c>
      <x:c r="B99" s="4" t="str">
        <x:v>diverse_04</x:v>
      </x:c>
      <x:c r="C99" s="4" t="str">
        <x:v>04-S4</x:v>
      </x:c>
      <x:c r="D99" s="20" t="n">
        <x:v>15</x:v>
      </x:c>
      <x:c r="E99" s="20" t="n">
        <x:v>6.871892264355591</x:v>
      </x:c>
      <x:c r="F99" s="20" t="n">
        <x:v>1.6683822019690941</x:v>
      </x:c>
      <x:c r="G99" s="20" t="n">
        <x:f>E99-F99</x:f>
        <x:v>5.2035100623864965</x:v>
      </x:c>
      <x:c r="H99" s="21" t="n">
        <x:f>E99/F99-1</x:f>
        <x:v>3.118895692033335</x:v>
      </x:c>
      <x:c r="I99" s="21" t="n">
        <x:v>0.9949372665365284</x:v>
      </x:c>
      <x:c r="J99" s="4" t="str">
        <x:v>是</x:v>
      </x:c>
      <x:c r="K99" s="4" t="str">
        <x:v>固定压缩量插值</x:v>
      </x:c>
    </x:row>
    <x:row r="100" ht="25" customHeight="1">
      <x:c r="A100" s="4" t="str">
        <x:v>04-J18</x:v>
      </x:c>
      <x:c r="B100" s="4" t="str">
        <x:v>diverse_04</x:v>
      </x:c>
      <x:c r="C100" s="4" t="str">
        <x:v>04-S4</x:v>
      </x:c>
      <x:c r="D100" s="20" t="n">
        <x:v>16</x:v>
      </x:c>
      <x:c r="E100" s="20" t="n">
        <x:v>7.065210083289826</x:v>
      </x:c>
      <x:c r="F100" s="20" t="n">
        <x:v>1.2196661373368218</x:v>
      </x:c>
      <x:c r="G100" s="20" t="n">
        <x:f>E100-F100</x:f>
        <x:v>5.845543945953004</x:v>
      </x:c>
      <x:c r="H100" s="21" t="n">
        <x:f>E100/F100-1</x:f>
        <x:v>4.79274103544182</x:v>
      </x:c>
      <x:c r="I100" s="21" t="n">
        <x:v>1.1176973706741047</x:v>
      </x:c>
      <x:c r="J100" s="4" t="str">
        <x:v>是</x:v>
      </x:c>
      <x:c r="K100" s="4" t="str">
        <x:v>固定压缩量插值</x:v>
      </x:c>
    </x:row>
    <x:row r="101" ht="25" customHeight="1">
      <x:c r="A101" s="4" t="str">
        <x:v>28-t45</x:v>
      </x:c>
      <x:c r="B101" s="4" t="str">
        <x:v>diverse_28</x:v>
      </x:c>
      <x:c r="C101" s="4" t="str">
        <x:v>28-S45</x:v>
      </x:c>
      <x:c r="D101" s="20" t="n">
        <x:v>1</x:v>
      </x:c>
      <x:c r="E101" s="20" t="n">
        <x:v>0.3448629411131511</x:v>
      </x:c>
      <x:c r="F101" s="20" t="n">
        <x:v>0.3231540866425676</x:v>
      </x:c>
      <x:c r="G101" s="20" t="n">
        <x:f>E101-F101</x:f>
        <x:v>0.02170885447058346</x:v>
      </x:c>
      <x:c r="H101" s="21" t="n">
        <x:f>E101/F101-1</x:f>
        <x:v>0.06717802858731936</x:v>
      </x:c>
      <x:c r="I101" s="21" t="n">
        <x:v>0.012129327734484217</x:v>
      </x:c>
      <x:c r="J101" s="4" t="str">
        <x:v>否</x:v>
      </x:c>
      <x:c r="K101" s="4" t="str">
        <x:v>固定压缩量插值</x:v>
      </x:c>
    </x:row>
    <x:row r="102" ht="25" customHeight="1">
      <x:c r="A102" s="4" t="str">
        <x:v>28-t45</x:v>
      </x:c>
      <x:c r="B102" s="4" t="str">
        <x:v>diverse_28</x:v>
      </x:c>
      <x:c r="C102" s="4" t="str">
        <x:v>28-S45</x:v>
      </x:c>
      <x:c r="D102" s="20" t="n">
        <x:v>5</x:v>
      </x:c>
      <x:c r="E102" s="20" t="n">
        <x:v>1.4446334396305058</x:v>
      </x:c>
      <x:c r="F102" s="20" t="n">
        <x:v>1.3723850071383208</x:v>
      </x:c>
      <x:c r="G102" s="20" t="n">
        <x:f>E102-F102</x:f>
        <x:v>0.07224843249218504</x:v>
      </x:c>
      <x:c r="H102" s="21" t="n">
        <x:f>E102/F102-1</x:f>
        <x:v>0.052644434408997576</x:v>
      </x:c>
      <x:c r="I102" s="21" t="n">
        <x:v>0.04036716525913116</x:v>
      </x:c>
      <x:c r="J102" s="4" t="str">
        <x:v>否</x:v>
      </x:c>
      <x:c r="K102" s="4" t="str">
        <x:v>固定压缩量插值</x:v>
      </x:c>
    </x:row>
    <x:row r="103" ht="25" customHeight="1">
      <x:c r="A103" s="4" t="str">
        <x:v>28-t45</x:v>
      </x:c>
      <x:c r="B103" s="4" t="str">
        <x:v>diverse_28</x:v>
      </x:c>
      <x:c r="C103" s="4" t="str">
        <x:v>28-S45</x:v>
      </x:c>
      <x:c r="D103" s="20" t="n">
        <x:v>10</x:v>
      </x:c>
      <x:c r="E103" s="20" t="n">
        <x:v>1.8824186438015242</x:v>
      </x:c>
      <x:c r="F103" s="20" t="n">
        <x:v>1.7883393161264396</x:v>
      </x:c>
      <x:c r="G103" s="20" t="n">
        <x:f>E103-F103</x:f>
        <x:v>0.09407932767508465</x:v>
      </x:c>
      <x:c r="H103" s="21" t="n">
        <x:f>E103/F103-1</x:f>
        <x:v>0.05260709017954235</x:v>
      </x:c>
      <x:c r="I103" s="21" t="n">
        <x:v>0.052564680460560634</x:v>
      </x:c>
      <x:c r="J103" s="4" t="str">
        <x:v>否</x:v>
      </x:c>
      <x:c r="K103" s="4" t="str">
        <x:v>固定压缩量插值</x:v>
      </x:c>
    </x:row>
    <x:row r="104" ht="25" customHeight="1">
      <x:c r="A104" s="4" t="str">
        <x:v>28-t45</x:v>
      </x:c>
      <x:c r="B104" s="4" t="str">
        <x:v>diverse_28</x:v>
      </x:c>
      <x:c r="C104" s="4" t="str">
        <x:v>28-S45</x:v>
      </x:c>
      <x:c r="D104" s="20" t="n">
        <x:v>12</x:v>
      </x:c>
      <x:c r="E104" s="20" t="n">
        <x:v>1.8306648868653</x:v>
      </x:c>
      <x:c r="F104" s="20" t="n">
        <x:v>1.7382978158710556</x:v>
      </x:c>
      <x:c r="G104" s="20" t="n">
        <x:f>E104-F104</x:f>
        <x:v>0.09236707099424435</x:v>
      </x:c>
      <x:c r="H104" s="21" t="n">
        <x:f>E104/F104-1</x:f>
        <x:v>0.05313650523570357</x:v>
      </x:c>
      <x:c r="I104" s="21" t="n">
        <x:v>0.051607996059013124</x:v>
      </x:c>
      <x:c r="J104" s="4" t="str">
        <x:v>否</x:v>
      </x:c>
      <x:c r="K104" s="4" t="str">
        <x:v>固定压缩量插值</x:v>
      </x:c>
    </x:row>
    <x:row r="105" ht="25" customHeight="1">
      <x:c r="A105" s="4" t="str">
        <x:v>28-t45</x:v>
      </x:c>
      <x:c r="B105" s="4" t="str">
        <x:v>diverse_28</x:v>
      </x:c>
      <x:c r="C105" s="4" t="str">
        <x:v>28-S45</x:v>
      </x:c>
      <x:c r="D105" s="20" t="n">
        <x:v>14.000000000000002</x:v>
      </x:c>
      <x:c r="E105" s="20" t="n">
        <x:v>1.7384072080377384</x:v>
      </x:c>
      <x:c r="F105" s="20" t="n">
        <x:v>1.653465994601736</x:v>
      </x:c>
      <x:c r="G105" s="20" t="n">
        <x:f>E105-F105</x:f>
        <x:v>0.08494121343600236</x:v>
      </x:c>
      <x:c r="H105" s="21" t="n">
        <x:f>E105/F105-1</x:f>
        <x:v>0.051371611943227036</x:v>
      </x:c>
      <x:c r="I105" s="21" t="n">
        <x:v>0.04745896736864331</x:v>
      </x:c>
      <x:c r="J105" s="4" t="str">
        <x:v>否</x:v>
      </x:c>
      <x:c r="K105" s="4" t="str">
        <x:v>固定压缩量插值</x:v>
      </x:c>
    </x:row>
    <x:row r="106" ht="25" customHeight="1">
      <x:c r="A106" s="4" t="str">
        <x:v>28-t45</x:v>
      </x:c>
      <x:c r="B106" s="4" t="str">
        <x:v>diverse_28</x:v>
      </x:c>
      <x:c r="C106" s="4" t="str">
        <x:v>28-S45</x:v>
      </x:c>
      <x:c r="D106" s="20" t="n">
        <x:v>15</x:v>
      </x:c>
      <x:c r="E106" s="20" t="n">
        <x:v>1.6928471523437378</x:v>
      </x:c>
      <x:c r="F106" s="20" t="n">
        <x:v>1.6072622009686643</x:v>
      </x:c>
      <x:c r="G106" s="20" t="n">
        <x:f>E106-F106</x:f>
        <x:v>0.08558495137507349</x:v>
      </x:c>
      <x:c r="H106" s="21" t="n">
        <x:f>E106/F106-1</x:f>
        <x:v>0.05324890445597075</x:v>
      </x:c>
      <x:c r="I106" s="21" t="n">
        <x:v>0.047818641272611644</x:v>
      </x:c>
      <x:c r="J106" s="4" t="str">
        <x:v>否</x:v>
      </x:c>
      <x:c r="K106" s="4" t="str">
        <x:v>固定压缩量插值</x:v>
      </x:c>
    </x:row>
    <x:row r="107" ht="25" customHeight="1">
      <x:c r="A107" s="4" t="str">
        <x:v>28-t45</x:v>
      </x:c>
      <x:c r="B107" s="4" t="str">
        <x:v>diverse_28</x:v>
      </x:c>
      <x:c r="C107" s="4" t="str">
        <x:v>28-S45</x:v>
      </x:c>
      <x:c r="D107" s="20" t="n">
        <x:v>16</x:v>
      </x:c>
      <x:c r="E107" s="20" t="n">
        <x:v>1.6448155867651955</x:v>
      </x:c>
      <x:c r="F107" s="20" t="n">
        <x:v>1.5608608647821676</x:v>
      </x:c>
      <x:c r="G107" s="20" t="n">
        <x:f>E107-F107</x:f>
        <x:v>0.08395472198302789</x:v>
      </x:c>
      <x:c r="H107" s="21" t="n">
        <x:f>E107/F107-1</x:f>
        <x:v>0.05378744760491161</x:v>
      </x:c>
      <x:c r="I107" s="21" t="n">
        <x:v>0.046907787749441904</x:v>
      </x:c>
      <x:c r="J107" s="4" t="str">
        <x:v>否</x:v>
      </x:c>
      <x:c r="K107" s="4" t="str">
        <x:v>固定压缩量插值</x:v>
      </x:c>
    </x:row>
    <x:row r="108" ht="25" customHeight="1">
      <x:c r="A108" s="4" t="str">
        <x:v>28-t45</x:v>
      </x:c>
      <x:c r="B108" s="4" t="str">
        <x:v>diverse_28</x:v>
      </x:c>
      <x:c r="C108" s="4" t="str">
        <x:v>28-S45</x:v>
      </x:c>
      <x:c r="D108" s="20" t="n">
        <x:v>18</x:v>
      </x:c>
      <x:c r="E108" s="20" t="n">
        <x:v>1.5514631026409542</x:v>
      </x:c>
      <x:c r="F108" s="20" t="n">
        <x:v>1.4705056833038308</x:v>
      </x:c>
      <x:c r="G108" s="20" t="n">
        <x:f>E108-F108</x:f>
        <x:v>0.08095741933712342</x:v>
      </x:c>
      <x:c r="H108" s="21" t="n">
        <x:f>E108/F108-1</x:f>
        <x:v>0.05505413563260353</x:v>
      </x:c>
      <x:c r="I108" s="21" t="n">
        <x:v>0.04523311319851729</x:v>
      </x:c>
      <x:c r="J108" s="4" t="str">
        <x:v>否</x:v>
      </x:c>
      <x:c r="K108" s="4" t="str">
        <x:v>固定压缩量插值</x:v>
      </x:c>
    </x:row>
    <x:row r="109" ht="25" customHeight="1">
      <x:c r="A109" s="4" t="str">
        <x:v>28-t45</x:v>
      </x:c>
      <x:c r="B109" s="4" t="str">
        <x:v>diverse_28</x:v>
      </x:c>
      <x:c r="C109" s="4" t="str">
        <x:v>28-S45</x:v>
      </x:c>
      <x:c r="D109" s="20" t="n">
        <x:v>20</x:v>
      </x:c>
      <x:c r="E109" s="20" t="n">
        <x:v>1.481811301319958</x:v>
      </x:c>
      <x:c r="F109" s="20" t="n">
        <x:v>1.3857337407017802</x:v>
      </x:c>
      <x:c r="G109" s="20" t="n">
        <x:f>E109-F109</x:f>
        <x:v>0.09607756061817785</x:v>
      </x:c>
      <x:c r="H109" s="21" t="n">
        <x:f>E109/F109-1</x:f>
        <x:v>0.0693333486774459</x:v>
      </x:c>
      <x:c r="I109" s="21" t="n">
        <x:v>0.05368114758182044</x:v>
      </x:c>
      <x:c r="J109" s="4" t="str">
        <x:v>否</x:v>
      </x:c>
      <x:c r="K109" s="4" t="str">
        <x:v>固定压缩量插值</x:v>
      </x:c>
    </x:row>
    <x:row r="110" ht="25" customHeight="1">
      <x:c r="A110" s="4" t="str">
        <x:v>28-t55</x:v>
      </x:c>
      <x:c r="B110" s="4" t="str">
        <x:v>diverse_28</x:v>
      </x:c>
      <x:c r="C110" s="4" t="str">
        <x:v>28-S55</x:v>
      </x:c>
      <x:c r="D110" s="20" t="n">
        <x:v>1</x:v>
      </x:c>
      <x:c r="E110" s="20" t="n">
        <x:v>0.44683816494240247</x:v>
      </x:c>
      <x:c r="F110" s="20" t="n">
        <x:v>0.416081617824541</x:v>
      </x:c>
      <x:c r="G110" s="20" t="n">
        <x:f>E110-F110</x:f>
        <x:v>0.030756547117861466</x:v>
      </x:c>
      <x:c r="H110" s="21" t="n">
        <x:f>E110/F110-1</x:f>
        <x:v>0.07391950473243769</x:v>
      </x:c>
      <x:c r="I110" s="21" t="n">
        <x:v>0.011177968583766745</x:v>
      </x:c>
      <x:c r="J110" s="4" t="str">
        <x:v>否</x:v>
      </x:c>
      <x:c r="K110" s="4" t="str">
        <x:v>固定压缩量插值</x:v>
      </x:c>
    </x:row>
    <x:row r="111" ht="25" customHeight="1">
      <x:c r="A111" s="4" t="str">
        <x:v>28-t55</x:v>
      </x:c>
      <x:c r="B111" s="4" t="str">
        <x:v>diverse_28</x:v>
      </x:c>
      <x:c r="C111" s="4" t="str">
        <x:v>28-S55</x:v>
      </x:c>
      <x:c r="D111" s="20" t="n">
        <x:v>5</x:v>
      </x:c>
      <x:c r="E111" s="20" t="n">
        <x:v>1.9642261185452492</x:v>
      </x:c>
      <x:c r="F111" s="20" t="n">
        <x:v>1.8509072154704467</x:v>
      </x:c>
      <x:c r="G111" s="20" t="n">
        <x:f>E111-F111</x:f>
        <x:v>0.11331890307480252</x:v>
      </x:c>
      <x:c r="H111" s="21" t="n">
        <x:f>E111/F111-1</x:f>
        <x:v>0.06122343795931462</x:v>
      </x:c>
      <x:c r="I111" s="21" t="n">
        <x:v>0.04118391878200938</x:v>
      </x:c>
      <x:c r="J111" s="4" t="str">
        <x:v>否</x:v>
      </x:c>
      <x:c r="K111" s="4" t="str">
        <x:v>固定压缩量插值</x:v>
      </x:c>
    </x:row>
    <x:row r="112" ht="25" customHeight="1">
      <x:c r="A112" s="4" t="str">
        <x:v>28-t55</x:v>
      </x:c>
      <x:c r="B112" s="4" t="str">
        <x:v>diverse_28</x:v>
      </x:c>
      <x:c r="C112" s="4" t="str">
        <x:v>28-S55</x:v>
      </x:c>
      <x:c r="D112" s="20" t="n">
        <x:v>10</x:v>
      </x:c>
      <x:c r="E112" s="20" t="n">
        <x:v>2.9275340823955696</x:v>
      </x:c>
      <x:c r="F112" s="20" t="n">
        <x:v>2.7179542569382997</x:v>
      </x:c>
      <x:c r="G112" s="20" t="n">
        <x:f>E112-F112</x:f>
        <x:v>0.20957982545726983</x:v>
      </x:c>
      <x:c r="H112" s="21" t="n">
        <x:f>E112/F112-1</x:f>
        <x:v>0.07710940127938559</x:v>
      </x:c>
      <x:c r="I112" s="21" t="n">
        <x:v>0.07616839093723238</x:v>
      </x:c>
      <x:c r="J112" s="4" t="str">
        <x:v>否</x:v>
      </x:c>
      <x:c r="K112" s="4" t="str">
        <x:v>固定压缩量插值</x:v>
      </x:c>
    </x:row>
    <x:row r="113" ht="25" customHeight="1">
      <x:c r="A113" s="4" t="str">
        <x:v>28-t55</x:v>
      </x:c>
      <x:c r="B113" s="4" t="str">
        <x:v>diverse_28</x:v>
      </x:c>
      <x:c r="C113" s="4" t="str">
        <x:v>28-S55</x:v>
      </x:c>
      <x:c r="D113" s="20" t="n">
        <x:v>12</x:v>
      </x:c>
      <x:c r="E113" s="20" t="n">
        <x:v>2.9568886490124964</x:v>
      </x:c>
      <x:c r="F113" s="20" t="n">
        <x:v>2.747629818554291</x:v>
      </x:c>
      <x:c r="G113" s="20" t="n">
        <x:f>E113-F113</x:f>
        <x:v>0.20925883045820548</x:v>
      </x:c>
      <x:c r="H113" s="21" t="n">
        <x:f>E113/F113-1</x:f>
        <x:v>0.07615976105846389</x:v>
      </x:c>
      <x:c r="I113" s="21" t="n">
        <x:v>0.07605173050713476</x:v>
      </x:c>
      <x:c r="J113" s="4" t="str">
        <x:v>否</x:v>
      </x:c>
      <x:c r="K113" s="4" t="str">
        <x:v>固定压缩量插值</x:v>
      </x:c>
    </x:row>
    <x:row r="114" ht="25" customHeight="1">
      <x:c r="A114" s="4" t="str">
        <x:v>28-t55</x:v>
      </x:c>
      <x:c r="B114" s="4" t="str">
        <x:v>diverse_28</x:v>
      </x:c>
      <x:c r="C114" s="4" t="str">
        <x:v>28-S55</x:v>
      </x:c>
      <x:c r="D114" s="20" t="n">
        <x:v>14.000000000000002</x:v>
      </x:c>
      <x:c r="E114" s="20" t="n">
        <x:v>2.892661866474522</x:v>
      </x:c>
      <x:c r="F114" s="20" t="n">
        <x:v>2.685161016665122</x:v>
      </x:c>
      <x:c r="G114" s="20" t="n">
        <x:f>E114-F114</x:f>
        <x:v>0.20750084980939976</x:v>
      </x:c>
      <x:c r="H114" s="21" t="n">
        <x:f>E114/F114-1</x:f>
        <x:v>0.07727687409491324</x:v>
      </x:c>
      <x:c r="I114" s="21" t="n">
        <x:v>0.07541282093162495</x:v>
      </x:c>
      <x:c r="J114" s="4" t="str">
        <x:v>否</x:v>
      </x:c>
      <x:c r="K114" s="4" t="str">
        <x:v>固定压缩量插值</x:v>
      </x:c>
    </x:row>
    <x:row r="115" ht="25" customHeight="1">
      <x:c r="A115" s="4" t="str">
        <x:v>28-t55</x:v>
      </x:c>
      <x:c r="B115" s="4" t="str">
        <x:v>diverse_28</x:v>
      </x:c>
      <x:c r="C115" s="4" t="str">
        <x:v>28-S55</x:v>
      </x:c>
      <x:c r="D115" s="20" t="n">
        <x:v>15</x:v>
      </x:c>
      <x:c r="E115" s="20" t="n">
        <x:v>2.8356682087600062</x:v>
      </x:c>
      <x:c r="F115" s="20" t="n">
        <x:v>2.636639676730789</x:v>
      </x:c>
      <x:c r="G115" s="20" t="n">
        <x:f>E115-F115</x:f>
        <x:v>0.19902853202921733</x:v>
      </x:c>
      <x:c r="H115" s="21" t="n">
        <x:f>E115/F115-1</x:f>
        <x:v>0.07548567738918188</x:v>
      </x:c>
      <x:c r="I115" s="21" t="n">
        <x:v>0.07233369434385627</x:v>
      </x:c>
      <x:c r="J115" s="4" t="str">
        <x:v>否</x:v>
      </x:c>
      <x:c r="K115" s="4" t="str">
        <x:v>固定压缩量插值</x:v>
      </x:c>
    </x:row>
    <x:row r="116" ht="25" customHeight="1">
      <x:c r="A116" s="4" t="str">
        <x:v>28-t55</x:v>
      </x:c>
      <x:c r="B116" s="4" t="str">
        <x:v>diverse_28</x:v>
      </x:c>
      <x:c r="C116" s="4" t="str">
        <x:v>28-S55</x:v>
      </x:c>
      <x:c r="D116" s="20" t="n">
        <x:v>16</x:v>
      </x:c>
      <x:c r="E116" s="20" t="n">
        <x:v>2.78039103543086</x:v>
      </x:c>
      <x:c r="F116" s="20" t="n">
        <x:v>2.5823315904072506</x:v>
      </x:c>
      <x:c r="G116" s="20" t="n">
        <x:f>E116-F116</x:f>
        <x:v>0.19805944502360928</x:v>
      </x:c>
      <x:c r="H116" s="21" t="n">
        <x:f>E116/F116-1</x:f>
        <x:v>0.07669791352874777</x:v>
      </x:c>
      <x:c r="I116" s="21" t="n">
        <x:v>0.07198149537749919</x:v>
      </x:c>
      <x:c r="J116" s="4" t="str">
        <x:v>否</x:v>
      </x:c>
      <x:c r="K116" s="4" t="str">
        <x:v>固定压缩量插值</x:v>
      </x:c>
    </x:row>
    <x:row r="117" ht="25" customHeight="1">
      <x:c r="A117" s="4" t="str">
        <x:v>28-t55</x:v>
      </x:c>
      <x:c r="B117" s="4" t="str">
        <x:v>diverse_28</x:v>
      </x:c>
      <x:c r="C117" s="4" t="str">
        <x:v>28-S55</x:v>
      </x:c>
      <x:c r="D117" s="20" t="n">
        <x:v>18</x:v>
      </x:c>
      <x:c r="E117" s="20" t="n">
        <x:v>2.650037009918362</x:v>
      </x:c>
      <x:c r="F117" s="20" t="n">
        <x:v>2.4660549999721435</x:v>
      </x:c>
      <x:c r="G117" s="20" t="n">
        <x:f>E117-F117</x:f>
        <x:v>0.18398200994621838</x:v>
      </x:c>
      <x:c r="H117" s="21" t="n">
        <x:f>E117/F117-1</x:f>
        <x:v>0.07460580155280261</x:v>
      </x:c>
      <x:c r="I117" s="21" t="n">
        <x:v>0.06686527974925957</x:v>
      </x:c>
      <x:c r="J117" s="4" t="str">
        <x:v>否</x:v>
      </x:c>
      <x:c r="K117" s="4" t="str">
        <x:v>固定压缩量插值</x:v>
      </x:c>
    </x:row>
    <x:row r="118" ht="25" customHeight="1">
      <x:c r="A118" s="4" t="str">
        <x:v>28-t55</x:v>
      </x:c>
      <x:c r="B118" s="4" t="str">
        <x:v>diverse_28</x:v>
      </x:c>
      <x:c r="C118" s="4" t="str">
        <x:v>28-S55</x:v>
      </x:c>
      <x:c r="D118" s="20" t="n">
        <x:v>20</x:v>
      </x:c>
      <x:c r="E118" s="20" t="n">
        <x:v>2.5423791891628715</x:v>
      </x:c>
      <x:c r="F118" s="20" t="n">
        <x:v>2.34870379213281</x:v>
      </x:c>
      <x:c r="G118" s="20" t="n">
        <x:f>E118-F118</x:f>
        <x:v>0.19367539703006154</x:v>
      </x:c>
      <x:c r="H118" s="21" t="n">
        <x:f>E118/F118-1</x:f>
        <x:v>0.08246054597382368</x:v>
      </x:c>
      <x:c r="I118" s="21" t="n">
        <x:v>0.07038818418577757</x:v>
      </x:c>
      <x:c r="J118" s="4" t="str">
        <x:v>否</x:v>
      </x:c>
      <x:c r="K118" s="4" t="str">
        <x:v>固定压缩量插值</x:v>
      </x:c>
    </x:row>
    <x:row r="119" ht="25" customHeight="1">
      <x:c r="A119" s="4" t="str">
        <x:v>28-C4</x:v>
      </x:c>
      <x:c r="B119" s="4" t="str">
        <x:v>diverse_28</x:v>
      </x:c>
      <x:c r="C119" s="4" t="str">
        <x:v>28-S40</x:v>
      </x:c>
      <x:c r="D119" s="20" t="n">
        <x:v>1</x:v>
      </x:c>
      <x:c r="E119" s="20" t="n">
        <x:v>0.39565272812951663</x:v>
      </x:c>
      <x:c r="F119" s="20" t="n">
        <x:v>0.36943723478252233</x:v>
      </x:c>
      <x:c r="G119" s="20" t="n">
        <x:f>E119-F119</x:f>
        <x:v>0.0262154933469943</x:v>
      </x:c>
      <x:c r="H119" s="21" t="n">
        <x:f>E119/F119-1</x:f>
        <x:v>0.07096061489965044</x:v>
      </x:c>
      <x:c r="I119" s="21" t="n">
        <x:v>0.011687263335434513</x:v>
      </x:c>
      <x:c r="J119" s="4" t="str">
        <x:v>否</x:v>
      </x:c>
      <x:c r="K119" s="4" t="str">
        <x:v>固定压缩量插值</x:v>
      </x:c>
    </x:row>
    <x:row r="120" ht="25" customHeight="1">
      <x:c r="A120" s="4" t="str">
        <x:v>28-C4</x:v>
      </x:c>
      <x:c r="B120" s="4" t="str">
        <x:v>diverse_28</x:v>
      </x:c>
      <x:c r="C120" s="4" t="str">
        <x:v>28-S40</x:v>
      </x:c>
      <x:c r="D120" s="20" t="n">
        <x:v>5</x:v>
      </x:c>
      <x:c r="E120" s="20" t="n">
        <x:v>1.70135004433869</x:v>
      </x:c>
      <x:c r="F120" s="20" t="n">
        <x:v>1.6103992253526205</x:v>
      </x:c>
      <x:c r="G120" s="20" t="n">
        <x:f>E120-F120</x:f>
        <x:v>0.09095081898606949</x:v>
      </x:c>
      <x:c r="H120" s="21" t="n">
        <x:f>E120/F120-1</x:f>
        <x:v>0.056477187491290826</x:v>
      </x:c>
      <x:c r="I120" s="21" t="n">
        <x:v>0.04054725036046304</x:v>
      </x:c>
      <x:c r="J120" s="4" t="str">
        <x:v>否</x:v>
      </x:c>
      <x:c r="K120" s="4" t="str">
        <x:v>固定压缩量插值</x:v>
      </x:c>
    </x:row>
    <x:row r="121" ht="25" customHeight="1">
      <x:c r="A121" s="4" t="str">
        <x:v>28-C4</x:v>
      </x:c>
      <x:c r="B121" s="4" t="str">
        <x:v>diverse_28</x:v>
      </x:c>
      <x:c r="C121" s="4" t="str">
        <x:v>28-S40</x:v>
      </x:c>
      <x:c r="D121" s="20" t="n">
        <x:v>10</x:v>
      </x:c>
      <x:c r="E121" s="20" t="n">
        <x:v>2.377093064371732</x:v>
      </x:c>
      <x:c r="F121" s="20" t="n">
        <x:v>2.2387674044908055</x:v>
      </x:c>
      <x:c r="G121" s="20" t="n">
        <x:f>E121-F121</x:f>
        <x:v>0.13832565988092638</x:v>
      </x:c>
      <x:c r="H121" s="21" t="n">
        <x:f>E121/F121-1</x:f>
        <x:v>0.06178652574780896</x:v>
      </x:c>
      <x:c r="I121" s="21" t="n">
        <x:v>0.06166767078070228</x:v>
      </x:c>
      <x:c r="J121" s="4" t="str">
        <x:v>否</x:v>
      </x:c>
      <x:c r="K121" s="4" t="str">
        <x:v>固定压缩量插值</x:v>
      </x:c>
    </x:row>
    <x:row r="122" ht="25" customHeight="1">
      <x:c r="A122" s="4" t="str">
        <x:v>28-C4</x:v>
      </x:c>
      <x:c r="B122" s="4" t="str">
        <x:v>diverse_28</x:v>
      </x:c>
      <x:c r="C122" s="4" t="str">
        <x:v>28-S40</x:v>
      </x:c>
      <x:c r="D122" s="20" t="n">
        <x:v>12</x:v>
      </x:c>
      <x:c r="E122" s="20" t="n">
        <x:v>2.3513818413749155</x:v>
      </x:c>
      <x:c r="F122" s="20" t="n">
        <x:v>2.219805912481243</x:v>
      </x:c>
      <x:c r="G122" s="20" t="n">
        <x:f>E122-F122</x:f>
        <x:v>0.13157592889367242</x:v>
      </x:c>
      <x:c r="H122" s="21" t="n">
        <x:f>E122/F122-1</x:f>
        <x:v>0.05927361854199242</x:v>
      </x:c>
      <x:c r="I122" s="21" t="n">
        <x:v>0.058658538644708214</x:v>
      </x:c>
      <x:c r="J122" s="4" t="str">
        <x:v>否</x:v>
      </x:c>
      <x:c r="K122" s="4" t="str">
        <x:v>固定压缩量插值</x:v>
      </x:c>
    </x:row>
    <x:row r="123" ht="25" customHeight="1">
      <x:c r="A123" s="4" t="str">
        <x:v>28-C4</x:v>
      </x:c>
      <x:c r="B123" s="4" t="str">
        <x:v>diverse_28</x:v>
      </x:c>
      <x:c r="C123" s="4" t="str">
        <x:v>28-S40</x:v>
      </x:c>
      <x:c r="D123" s="20" t="n">
        <x:v>14.000000000000002</x:v>
      </x:c>
      <x:c r="E123" s="20" t="n">
        <x:v>2.2652864950288314</x:v>
      </x:c>
      <x:c r="F123" s="20" t="n">
        <x:v>2.1398810963393506</x:v>
      </x:c>
      <x:c r="G123" s="20" t="n">
        <x:f>E123-F123</x:f>
        <x:v>0.12540539868948075</x:v>
      </x:c>
      <x:c r="H123" s="21" t="n">
        <x:f>E123/F123-1</x:f>
        <x:v>0.058603909770505114</x:v>
      </x:c>
      <x:c r="I123" s="21" t="n">
        <x:v>0.055907622975829185</x:v>
      </x:c>
      <x:c r="J123" s="4" t="str">
        <x:v>否</x:v>
      </x:c>
      <x:c r="K123" s="4" t="str">
        <x:v>固定压缩量插值</x:v>
      </x:c>
    </x:row>
    <x:row r="124" ht="25" customHeight="1">
      <x:c r="A124" s="4" t="str">
        <x:v>28-C4</x:v>
      </x:c>
      <x:c r="B124" s="4" t="str">
        <x:v>diverse_28</x:v>
      </x:c>
      <x:c r="C124" s="4" t="str">
        <x:v>28-S40</x:v>
      </x:c>
      <x:c r="D124" s="20" t="n">
        <x:v>15</x:v>
      </x:c>
      <x:c r="E124" s="20" t="n">
        <x:v>2.21064440965445</x:v>
      </x:c>
      <x:c r="F124" s="20" t="n">
        <x:v>2.0904140550078156</x:v>
      </x:c>
      <x:c r="G124" s="20" t="n">
        <x:f>E124-F124</x:f>
        <x:v>0.12023035464663456</x:v>
      </x:c>
      <x:c r="H124" s="21" t="n">
        <x:f>E124/F124-1</x:f>
        <x:v>0.05751509102161334</x:v>
      </x:c>
      <x:c r="I124" s="21" t="n">
        <x:v>0.053600510090305344</x:v>
      </x:c>
      <x:c r="J124" s="4" t="str">
        <x:v>否</x:v>
      </x:c>
      <x:c r="K124" s="4" t="str">
        <x:v>固定压缩量插值</x:v>
      </x:c>
    </x:row>
    <x:row r="125" ht="25" customHeight="1">
      <x:c r="A125" s="4" t="str">
        <x:v>28-C4</x:v>
      </x:c>
      <x:c r="B125" s="4" t="str">
        <x:v>diverse_28</x:v>
      </x:c>
      <x:c r="C125" s="4" t="str">
        <x:v>28-S40</x:v>
      </x:c>
      <x:c r="D125" s="20" t="n">
        <x:v>16</x:v>
      </x:c>
      <x:c r="E125" s="20" t="n">
        <x:v>2.158397987425354</x:v>
      </x:c>
      <x:c r="F125" s="20" t="n">
        <x:v>2.038506473209727</x:v>
      </x:c>
      <x:c r="G125" s="20" t="n">
        <x:f>E125-F125</x:f>
        <x:v>0.11989151421562694</x:v>
      </x:c>
      <x:c r="H125" s="21" t="n">
        <x:f>E125/F125-1</x:f>
        <x:v>0.05881340863580964</x:v>
      </x:c>
      <x:c r="I125" s="21" t="n">
        <x:v>0.05344944990259645</x:v>
      </x:c>
      <x:c r="J125" s="4" t="str">
        <x:v>否</x:v>
      </x:c>
      <x:c r="K125" s="4" t="str">
        <x:v>固定压缩量插值</x:v>
      </x:c>
    </x:row>
    <x:row r="126" ht="25" customHeight="1">
      <x:c r="A126" s="4" t="str">
        <x:v>28-C4</x:v>
      </x:c>
      <x:c r="B126" s="4" t="str">
        <x:v>diverse_28</x:v>
      </x:c>
      <x:c r="C126" s="4" t="str">
        <x:v>28-S40</x:v>
      </x:c>
      <x:c r="D126" s="20" t="n">
        <x:v>18</x:v>
      </x:c>
      <x:c r="E126" s="20" t="n">
        <x:v>2.045156229438062</x:v>
      </x:c>
      <x:c r="F126" s="20" t="n">
        <x:v>1.9333123185934167</x:v>
      </x:c>
      <x:c r="G126" s="20" t="n">
        <x:f>E126-F126</x:f>
        <x:v>0.11184391084464518</x:v>
      </x:c>
      <x:c r="H126" s="21" t="n">
        <x:f>E126/F126-1</x:f>
        <x:v>0.057850927534573104</x:v>
      </x:c>
      <x:c r="I126" s="21" t="n">
        <x:v>0.04986170663296319</x:v>
      </x:c>
      <x:c r="J126" s="4" t="str">
        <x:v>否</x:v>
      </x:c>
      <x:c r="K126" s="4" t="str">
        <x:v>固定压缩量插值</x:v>
      </x:c>
    </x:row>
    <x:row r="127" ht="25" customHeight="1">
      <x:c r="A127" s="4" t="str">
        <x:v>28-C4</x:v>
      </x:c>
      <x:c r="B127" s="4" t="str">
        <x:v>diverse_28</x:v>
      </x:c>
      <x:c r="C127" s="4" t="str">
        <x:v>28-S40</x:v>
      </x:c>
      <x:c r="D127" s="20" t="n">
        <x:v>20</x:v>
      </x:c>
      <x:c r="E127" s="20" t="n">
        <x:v>1.9564147704501202</x:v>
      </x:c>
      <x:c r="F127" s="20" t="n">
        <x:v>1.8314450142940606</x:v>
      </x:c>
      <x:c r="G127" s="20" t="n">
        <x:f>E127-F127</x:f>
        <x:v>0.12496975615605965</x:v>
      </x:c>
      <x:c r="H127" s="21" t="n">
        <x:f>E127/F127-1</x:f>
        <x:v>0.06823560367944204</x:v>
      </x:c>
      <x:c r="I127" s="21" t="n">
        <x:v>0.05571340694713133</x:v>
      </x:c>
      <x:c r="J127" s="4" t="str">
        <x:v>否</x:v>
      </x:c>
      <x:c r="K127" s="4" t="str">
        <x:v>固定压缩量插值</x:v>
      </x:c>
    </x:row>
    <x:row r="128" ht="25" customHeight="1">
      <x:c r="A128" s="4" t="str">
        <x:v>28-C8</x:v>
      </x:c>
      <x:c r="B128" s="4" t="str">
        <x:v>diverse_28</x:v>
      </x:c>
      <x:c r="C128" s="4" t="str">
        <x:v>28-S40</x:v>
      </x:c>
      <x:c r="D128" s="20" t="n">
        <x:v>1</x:v>
      </x:c>
      <x:c r="E128" s="20" t="n">
        <x:v>0.38473167778632494</x:v>
      </x:c>
      <x:c r="F128" s="20" t="n">
        <x:v>0.36943723478252233</x:v>
      </x:c>
      <x:c r="G128" s="20" t="n">
        <x:f>E128-F128</x:f>
        <x:v>0.015294443003802616</x:v>
      </x:c>
      <x:c r="H128" s="21" t="n">
        <x:f>E128/F128-1</x:f>
        <x:v>0.041399300243263326</x:v>
      </x:c>
      <x:c r="I128" s="21" t="n">
        <x:v>0.006818493956541526</x:v>
      </x:c>
      <x:c r="J128" s="4" t="str">
        <x:v>否</x:v>
      </x:c>
      <x:c r="K128" s="4" t="str">
        <x:v>固定压缩量插值</x:v>
      </x:c>
    </x:row>
    <x:row r="129" ht="25" customHeight="1">
      <x:c r="A129" s="4" t="str">
        <x:v>28-C8</x:v>
      </x:c>
      <x:c r="B129" s="4" t="str">
        <x:v>diverse_28</x:v>
      </x:c>
      <x:c r="C129" s="4" t="str">
        <x:v>28-S40</x:v>
      </x:c>
      <x:c r="D129" s="20" t="n">
        <x:v>5</x:v>
      </x:c>
      <x:c r="E129" s="20" t="n">
        <x:v>1.6858765900569963</x:v>
      </x:c>
      <x:c r="F129" s="20" t="n">
        <x:v>1.6103992253526205</x:v>
      </x:c>
      <x:c r="G129" s="20" t="n">
        <x:f>E129-F129</x:f>
        <x:v>0.07547736470437583</x:v>
      </x:c>
      <x:c r="H129" s="21" t="n">
        <x:f>E129/F129-1</x:f>
        <x:v>0.04686872889413429</x:v>
      </x:c>
      <x:c r="I129" s="21" t="n">
        <x:v>0.03364895046942953</x:v>
      </x:c>
      <x:c r="J129" s="4" t="str">
        <x:v>否</x:v>
      </x:c>
      <x:c r="K129" s="4" t="str">
        <x:v>固定压缩量插值</x:v>
      </x:c>
    </x:row>
    <x:row r="130" ht="25" customHeight="1">
      <x:c r="A130" s="4" t="str">
        <x:v>28-C8</x:v>
      </x:c>
      <x:c r="B130" s="4" t="str">
        <x:v>diverse_28</x:v>
      </x:c>
      <x:c r="C130" s="4" t="str">
        <x:v>28-S40</x:v>
      </x:c>
      <x:c r="D130" s="20" t="n">
        <x:v>10</x:v>
      </x:c>
      <x:c r="E130" s="20" t="n">
        <x:v>2.377753705773583</x:v>
      </x:c>
      <x:c r="F130" s="20" t="n">
        <x:v>2.2387674044908055</x:v>
      </x:c>
      <x:c r="G130" s="20" t="n">
        <x:f>E130-F130</x:f>
        <x:v>0.13898630128277745</x:v>
      </x:c>
      <x:c r="H130" s="21" t="n">
        <x:f>E130/F130-1</x:f>
        <x:v>0.0620816173238814</x:v>
      </x:c>
      <x:c r="I130" s="21" t="n">
        <x:v>0.06196219470712724</x:v>
      </x:c>
      <x:c r="J130" s="4" t="str">
        <x:v>否</x:v>
      </x:c>
      <x:c r="K130" s="4" t="str">
        <x:v>固定压缩量插值</x:v>
      </x:c>
    </x:row>
    <x:row r="131" ht="25" customHeight="1">
      <x:c r="A131" s="4" t="str">
        <x:v>28-C8</x:v>
      </x:c>
      <x:c r="B131" s="4" t="str">
        <x:v>diverse_28</x:v>
      </x:c>
      <x:c r="C131" s="4" t="str">
        <x:v>28-S40</x:v>
      </x:c>
      <x:c r="D131" s="20" t="n">
        <x:v>12</x:v>
      </x:c>
      <x:c r="E131" s="20" t="n">
        <x:v>2.3623278586731318</x:v>
      </x:c>
      <x:c r="F131" s="20" t="n">
        <x:v>2.219805912481243</x:v>
      </x:c>
      <x:c r="G131" s="20" t="n">
        <x:f>E131-F131</x:f>
        <x:v>0.14252194619188874</x:v>
      </x:c>
      <x:c r="H131" s="21" t="n">
        <x:f>E131/F131-1</x:f>
        <x:v>0.0642046880722924</x:v>
      </x:c>
      <x:c r="I131" s="21" t="n">
        <x:v>0.06353843866967353</x:v>
      </x:c>
      <x:c r="J131" s="4" t="str">
        <x:v>否</x:v>
      </x:c>
      <x:c r="K131" s="4" t="str">
        <x:v>固定压缩量插值</x:v>
      </x:c>
    </x:row>
    <x:row r="132" ht="25" customHeight="1">
      <x:c r="A132" s="4" t="str">
        <x:v>28-C8</x:v>
      </x:c>
      <x:c r="B132" s="4" t="str">
        <x:v>diverse_28</x:v>
      </x:c>
      <x:c r="C132" s="4" t="str">
        <x:v>28-S40</x:v>
      </x:c>
      <x:c r="D132" s="20" t="n">
        <x:v>14.000000000000002</x:v>
      </x:c>
      <x:c r="E132" s="20" t="n">
        <x:v>2.279950559852011</x:v>
      </x:c>
      <x:c r="F132" s="20" t="n">
        <x:v>2.1398810963393506</x:v>
      </x:c>
      <x:c r="G132" s="20" t="n">
        <x:f>E132-F132</x:f>
        <x:v>0.14006946351266025</x:v>
      </x:c>
      <x:c r="H132" s="21" t="n">
        <x:f>E132/F132-1</x:f>
        <x:v>0.06545665726580507</x:v>
      </x:c>
      <x:c r="I132" s="21" t="n">
        <x:v>0.06244508480757573</x:v>
      </x:c>
      <x:c r="J132" s="4" t="str">
        <x:v>否</x:v>
      </x:c>
      <x:c r="K132" s="4" t="str">
        <x:v>固定压缩量插值</x:v>
      </x:c>
    </x:row>
    <x:row r="133" ht="25" customHeight="1">
      <x:c r="A133" s="4" t="str">
        <x:v>28-C8</x:v>
      </x:c>
      <x:c r="B133" s="4" t="str">
        <x:v>diverse_28</x:v>
      </x:c>
      <x:c r="C133" s="4" t="str">
        <x:v>28-S40</x:v>
      </x:c>
      <x:c r="D133" s="20" t="n">
        <x:v>15</x:v>
      </x:c>
      <x:c r="E133" s="20" t="n">
        <x:v>2.227903817385944</x:v>
      </x:c>
      <x:c r="F133" s="20" t="n">
        <x:v>2.0904140550078156</x:v>
      </x:c>
      <x:c r="G133" s="20" t="n">
        <x:f>E133-F133</x:f>
        <x:v>0.13748976237812816</x:v>
      </x:c>
      <x:c r="H133" s="21" t="n">
        <x:f>E133/F133-1</x:f>
        <x:v>0.06577154513899108</x:v>
      </x:c>
      <x:c r="I133" s="21" t="n">
        <x:v>0.061295015034448515</x:v>
      </x:c>
      <x:c r="J133" s="4" t="str">
        <x:v>否</x:v>
      </x:c>
      <x:c r="K133" s="4" t="str">
        <x:v>固定压缩量插值</x:v>
      </x:c>
    </x:row>
    <x:row r="134" ht="25" customHeight="1">
      <x:c r="A134" s="4" t="str">
        <x:v>28-C8</x:v>
      </x:c>
      <x:c r="B134" s="4" t="str">
        <x:v>diverse_28</x:v>
      </x:c>
      <x:c r="C134" s="4" t="str">
        <x:v>28-S40</x:v>
      </x:c>
      <x:c r="D134" s="20" t="n">
        <x:v>16</x:v>
      </x:c>
      <x:c r="E134" s="20" t="n">
        <x:v>2.173013826991543</x:v>
      </x:c>
      <x:c r="F134" s="20" t="n">
        <x:v>2.038506473209727</x:v>
      </x:c>
      <x:c r="G134" s="20" t="n">
        <x:f>E134-F134</x:f>
        <x:v>0.134507353781816</x:v>
      </x:c>
      <x:c r="H134" s="21" t="n">
        <x:f>E134/F134-1</x:f>
        <x:v>0.06598328509108331</x:v>
      </x:c>
      <x:c r="I134" s="21" t="n">
        <x:v>0.059965412185568306</x:v>
      </x:c>
      <x:c r="J134" s="4" t="str">
        <x:v>否</x:v>
      </x:c>
      <x:c r="K134" s="4" t="str">
        <x:v>固定压缩量插值</x:v>
      </x:c>
    </x:row>
    <x:row r="135" ht="25" customHeight="1">
      <x:c r="A135" s="4" t="str">
        <x:v>28-C8</x:v>
      </x:c>
      <x:c r="B135" s="4" t="str">
        <x:v>diverse_28</x:v>
      </x:c>
      <x:c r="C135" s="4" t="str">
        <x:v>28-S40</x:v>
      </x:c>
      <x:c r="D135" s="20" t="n">
        <x:v>18</x:v>
      </x:c>
      <x:c r="E135" s="20" t="n">
        <x:v>2.060838475457097</x:v>
      </x:c>
      <x:c r="F135" s="20" t="n">
        <x:v>1.9333123185934167</x:v>
      </x:c>
      <x:c r="G135" s="20" t="n">
        <x:f>E135-F135</x:f>
        <x:v>0.12752615686368052</x:v>
      </x:c>
      <x:c r="H135" s="21" t="n">
        <x:f>E135/F135-1</x:f>
        <x:v>0.06596252226668797</x:v>
      </x:c>
      <x:c r="I135" s="21" t="n">
        <x:v>0.05685308903761855</x:v>
      </x:c>
      <x:c r="J135" s="4" t="str">
        <x:v>否</x:v>
      </x:c>
      <x:c r="K135" s="4" t="str">
        <x:v>固定压缩量插值</x:v>
      </x:c>
    </x:row>
    <x:row r="136" ht="25" customHeight="1">
      <x:c r="A136" s="4" t="str">
        <x:v>28-C8</x:v>
      </x:c>
      <x:c r="B136" s="4" t="str">
        <x:v>diverse_28</x:v>
      </x:c>
      <x:c r="C136" s="4" t="str">
        <x:v>28-S40</x:v>
      </x:c>
      <x:c r="D136" s="20" t="n">
        <x:v>20</x:v>
      </x:c>
      <x:c r="E136" s="20" t="n">
        <x:v>1.9568281045213305</x:v>
      </x:c>
      <x:c r="F136" s="20" t="n">
        <x:v>1.8314450142940606</x:v>
      </x:c>
      <x:c r="G136" s="20" t="n">
        <x:f>E136-F136</x:f>
        <x:v>0.1253830902272699</x:v>
      </x:c>
      <x:c r="H136" s="21" t="n">
        <x:f>E136/F136-1</x:f>
        <x:v>0.06846129108364174</x:v>
      </x:c>
      <x:c r="I136" s="21" t="n">
        <x:v>0.05589767752605199</x:v>
      </x:c>
      <x:c r="J136" s="4" t="str">
        <x:v>否</x:v>
      </x:c>
      <x:c r="K136" s="4" t="str">
        <x:v>固定压缩量插值</x:v>
      </x:c>
    </x:row>
    <x:row r="137" ht="25" customHeight="1">
      <x:c r="A137" s="4" t="str">
        <x:v>04-Support</x:v>
      </x:c>
      <x:c r="B137" s="4" t="str">
        <x:v>diverse_04</x:v>
      </x:c>
      <x:c r="C137" s="4" t="str">
        <x:v>04-S4</x:v>
      </x:c>
      <x:c r="D137" s="20" t="n">
        <x:v>1</x:v>
      </x:c>
      <x:c r="E137" s="20" t="n">
        <x:v>0.49374663354061044</x:v>
      </x:c>
      <x:c r="F137" s="20" t="n">
        <x:v>0.474663133142886</x:v>
      </x:c>
      <x:c r="G137" s="20" t="n">
        <x:f>E137-F137</x:f>
        <x:v>0.01908350039772444</x:v>
      </x:c>
      <x:c r="H137" s="21" t="n">
        <x:f>E137/F137-1</x:f>
        <x:v>0.04020430293662569</x:v>
      </x:c>
      <x:c r="I137" s="21" t="n">
        <x:v>0.0036488611521878584</x:v>
      </x:c>
      <x:c r="J137" s="4" t="str">
        <x:v>是</x:v>
      </x:c>
      <x:c r="K137" s="4" t="str">
        <x:v>固定压缩量插值</x:v>
      </x:c>
    </x:row>
    <x:row r="138" ht="25" customHeight="1">
      <x:c r="A138" s="4" t="str">
        <x:v>04-Support</x:v>
      </x:c>
      <x:c r="B138" s="4" t="str">
        <x:v>diverse_04</x:v>
      </x:c>
      <x:c r="C138" s="4" t="str">
        <x:v>04-S4</x:v>
      </x:c>
      <x:c r="D138" s="20" t="n">
        <x:v>5</x:v>
      </x:c>
      <x:c r="E138" s="20" t="n">
        <x:v>2.4343841684611407</x:v>
      </x:c>
      <x:c r="F138" s="20" t="n">
        <x:v>2.325966645911184</x:v>
      </x:c>
      <x:c r="G138" s="20" t="n">
        <x:f>E138-F138</x:f>
        <x:v>0.10841752254995685</x:v>
      </x:c>
      <x:c r="H138" s="21" t="n">
        <x:f>E138/F138-1</x:f>
        <x:v>0.046611813088783594</x:v>
      </x:c>
      <x:c r="I138" s="21" t="n">
        <x:v>0.020729975004803676</x:v>
      </x:c>
      <x:c r="J138" s="4" t="str">
        <x:v>是</x:v>
      </x:c>
      <x:c r="K138" s="4" t="str">
        <x:v>固定压缩量插值</x:v>
      </x:c>
    </x:row>
    <x:row r="139" ht="25" customHeight="1">
      <x:c r="A139" s="4" t="str">
        <x:v>04-Support</x:v>
      </x:c>
      <x:c r="B139" s="4" t="str">
        <x:v>diverse_04</x:v>
      </x:c>
      <x:c r="C139" s="4" t="str">
        <x:v>04-S4</x:v>
      </x:c>
      <x:c r="D139" s="20" t="n">
        <x:v>10</x:v>
      </x:c>
      <x:c r="E139" s="20" t="n">
        <x:v>4.774780769230956</x:v>
      </x:c>
      <x:c r="F139" s="20" t="n">
        <x:v>4.536357579674203</x:v>
      </x:c>
      <x:c r="G139" s="20" t="n">
        <x:f>E139-F139</x:f>
        <x:v>0.23842318955675346</x:v>
      </x:c>
      <x:c r="H139" s="21" t="n">
        <x:f>E139/F139-1</x:f>
        <x:v>0.052558288311539414</x:v>
      </x:c>
      <x:c r="I139" s="21" t="n">
        <x:v>0.04558771168931341</x:v>
      </x:c>
      <x:c r="J139" s="4" t="str">
        <x:v>是</x:v>
      </x:c>
      <x:c r="K139" s="4" t="str">
        <x:v>固定压缩量插值</x:v>
      </x:c>
    </x:row>
    <x:row r="140" ht="25" customHeight="1">
      <x:c r="A140" s="4" t="str">
        <x:v>04-Support</x:v>
      </x:c>
      <x:c r="B140" s="4" t="str">
        <x:v>diverse_04</x:v>
      </x:c>
      <x:c r="C140" s="4" t="str">
        <x:v>04-S4</x:v>
      </x:c>
      <x:c r="D140" s="20" t="n">
        <x:v>12</x:v>
      </x:c>
      <x:c r="E140" s="20" t="n">
        <x:v>5.642606879207706</x:v>
      </x:c>
      <x:c r="F140" s="20" t="n">
        <x:v>5.055781124276235</x:v>
      </x:c>
      <x:c r="G140" s="20" t="n">
        <x:f>E140-F140</x:f>
        <x:v>0.5868257549314713</x:v>
      </x:c>
      <x:c r="H140" s="21" t="n">
        <x:f>E140/F140-1</x:f>
        <x:v>0.11607024523148812</x:v>
      </x:c>
      <x:c r="I140" s="21" t="n">
        <x:v>0.11220403257507648</x:v>
      </x:c>
      <x:c r="J140" s="4" t="str">
        <x:v>是</x:v>
      </x:c>
      <x:c r="K140" s="4" t="str">
        <x:v>固定压缩量插值</x:v>
      </x:c>
    </x:row>
    <x:row r="141" ht="25" customHeight="1">
      <x:c r="A141" s="4" t="str">
        <x:v>04-J15</x:v>
      </x:c>
      <x:c r="B141" s="4" t="str">
        <x:v>diverse_04</x:v>
      </x:c>
      <x:c r="C141" s="4" t="str">
        <x:v>04-S40</x:v>
      </x:c>
      <x:c r="D141" s="20" t="n">
        <x:v>0.11205163835074688</x:v>
      </x:c>
      <x:c r="E141" s="20" t="n">
        <x:v>0.06068083098945321</x:v>
      </x:c>
      <x:c r="F141" s="20" t="n">
        <x:v>0.05218830118647811</x:v>
      </x:c>
      <x:c r="G141" s="20" t="n">
        <x:f>E141-F141</x:f>
        <x:v>0.008492529802975102</x:v>
      </x:c>
      <x:c r="H141" s="21" t="n">
        <x:f>E141/F141-1</x:f>
        <x:v>0.16272861177507547</x:v>
      </x:c>
      <x:c r="I141" s="21" t="n">
        <x:v>0.0016657520397713344</x:v>
      </x:c>
      <x:c r="J141" s="4" t="str">
        <x:v>否</x:v>
      </x:c>
      <x:c r="K141" s="4" t="str">
        <x:v>原稀疏接受记录</x:v>
      </x:c>
    </x:row>
    <x:row r="142" ht="25" customHeight="1">
      <x:c r="A142" s="4" t="str">
        <x:v>04-J15</x:v>
      </x:c>
      <x:c r="B142" s="4" t="str">
        <x:v>diverse_04</x:v>
      </x:c>
      <x:c r="C142" s="4" t="str">
        <x:v>04-S4</x:v>
      </x:c>
      <x:c r="D142" s="20" t="n">
        <x:v>0.11205163835074688</x:v>
      </x:c>
      <x:c r="E142" s="20" t="n">
        <x:v>0.06068083098945321</x:v>
      </x:c>
      <x:c r="F142" s="20" t="n">
        <x:v>0.05839000139785473</x:v>
      </x:c>
      <x:c r="G142" s="20" t="n">
        <x:f>E142-F142</x:f>
        <x:v>0.0022908295915984797</x:v>
      </x:c>
      <x:c r="H142" s="21" t="n">
        <x:f>E142/F142-1</x:f>
        <x:v>0.03923325118609511</x:v>
      </x:c>
      <x:c r="I142" s="21" t="n">
        <x:v>0.0004380181271179582</x:v>
      </x:c>
      <x:c r="J142" s="4" t="str">
        <x:v>是</x:v>
      </x:c>
      <x:c r="K142" s="4" t="str">
        <x:v>原稀疏接受记录</x:v>
      </x:c>
    </x:row>
    <x:row r="143" ht="25" customHeight="1">
      <x:c r="A143" s="4" t="str">
        <x:v>04-J15</x:v>
      </x:c>
      <x:c r="B143" s="4" t="str">
        <x:v>diverse_04</x:v>
      </x:c>
      <x:c r="C143" s="4" t="str">
        <x:v>04-S40</x:v>
      </x:c>
      <x:c r="D143" s="20" t="n">
        <x:v>0.7776939352394241</x:v>
      </x:c>
      <x:c r="E143" s="20" t="n">
        <x:v>0.3908628106495459</x:v>
      </x:c>
      <x:c r="F143" s="20" t="n">
        <x:v>0.36204218197222665</x:v>
      </x:c>
      <x:c r="G143" s="20" t="n">
        <x:f>E143-F143</x:f>
        <x:v>0.02882062867731927</x:v>
      </x:c>
      <x:c r="H143" s="21" t="n">
        <x:f>E143/F143-1</x:f>
        <x:v>0.07960572030672997</x:v>
      </x:c>
      <x:c r="I143" s="21" t="n">
        <x:v>0.005652970565957699</x:v>
      </x:c>
      <x:c r="J143" s="4" t="str">
        <x:v>否</x:v>
      </x:c>
      <x:c r="K143" s="4" t="str">
        <x:v>原稀疏接受记录</x:v>
      </x:c>
    </x:row>
    <x:row r="144" ht="25" customHeight="1">
      <x:c r="A144" s="4" t="str">
        <x:v>04-J15</x:v>
      </x:c>
      <x:c r="B144" s="4" t="str">
        <x:v>diverse_04</x:v>
      </x:c>
      <x:c r="C144" s="4" t="str">
        <x:v>04-S4</x:v>
      </x:c>
      <x:c r="D144" s="20" t="n">
        <x:v>0.7776939352394241</x:v>
      </x:c>
      <x:c r="E144" s="20" t="n">
        <x:v>0.3908628106495459</x:v>
      </x:c>
      <x:c r="F144" s="20" t="n">
        <x:v>0.3708942638587134</x:v>
      </x:c>
      <x:c r="G144" s="20" t="n">
        <x:f>E144-F144</x:f>
        <x:v>0.019968546790832542</x:v>
      </x:c>
      <x:c r="H144" s="21" t="n">
        <x:f>E144/F144-1</x:f>
        <x:v>0.05383892051358141</x:v>
      </x:c>
      <x:c r="I144" s="21" t="n">
        <x:v>0.0038180864690527463</x:v>
      </x:c>
      <x:c r="J144" s="4" t="str">
        <x:v>是</x:v>
      </x:c>
      <x:c r="K144" s="4" t="str">
        <x:v>原稀疏接受记录</x:v>
      </x:c>
    </x:row>
    <x:row r="145" ht="25" customHeight="1">
      <x:c r="A145" s="4" t="str">
        <x:v>04-J15</x:v>
      </x:c>
      <x:c r="B145" s="4" t="str">
        <x:v>diverse_04</x:v>
      </x:c>
      <x:c r="C145" s="4" t="str">
        <x:v>04-S40</x:v>
      </x:c>
      <x:c r="D145" s="20" t="n">
        <x:v>2.2548523130678304</x:v>
      </x:c>
      <x:c r="E145" s="20" t="n">
        <x:v>1.1201128430623395</x:v>
      </x:c>
      <x:c r="F145" s="20" t="n">
        <x:v>1.0497198322509431</x:v>
      </x:c>
      <x:c r="G145" s="20" t="n">
        <x:f>E145-F145</x:f>
        <x:v>0.07039301081139637</x:v>
      </x:c>
      <x:c r="H145" s="21" t="n">
        <x:f>E145/F145-1</x:f>
        <x:v>0.06705885575244452</x:v>
      </x:c>
      <x:c r="I145" s="21" t="n">
        <x:v>0.01380711096281953</x:v>
      </x:c>
      <x:c r="J145" s="4" t="str">
        <x:v>否</x:v>
      </x:c>
      <x:c r="K145" s="4" t="str">
        <x:v>原稀疏接受记录</x:v>
      </x:c>
    </x:row>
    <x:row r="146" ht="25" customHeight="1">
      <x:c r="A146" s="4" t="str">
        <x:v>04-J15</x:v>
      </x:c>
      <x:c r="B146" s="4" t="str">
        <x:v>diverse_04</x:v>
      </x:c>
      <x:c r="C146" s="4" t="str">
        <x:v>04-S4</x:v>
      </x:c>
      <x:c r="D146" s="20" t="n">
        <x:v>2.2548523130678304</x:v>
      </x:c>
      <x:c r="E146" s="20" t="n">
        <x:v>1.1201128430623395</x:v>
      </x:c>
      <x:c r="F146" s="20" t="n">
        <x:v>1.0585212181817232</x:v>
      </x:c>
      <x:c r="G146" s="20" t="n">
        <x:f>E146-F146</x:f>
        <x:v>0.061591624880616314</x:v>
      </x:c>
      <x:c r="H146" s="21" t="n">
        <x:f>E146/F146-1</x:f>
        <x:v>0.058186481123557954</x:v>
      </x:c>
      <x:c r="I146" s="21" t="n">
        <x:v>0.011776628115552974</x:v>
      </x:c>
      <x:c r="J146" s="4" t="str">
        <x:v>是</x:v>
      </x:c>
      <x:c r="K146" s="4" t="str">
        <x:v>原稀疏接受记录</x:v>
      </x:c>
    </x:row>
    <x:row r="147" ht="25" customHeight="1">
      <x:c r="A147" s="4" t="str">
        <x:v>04-J15</x:v>
      </x:c>
      <x:c r="B147" s="4" t="str">
        <x:v>diverse_04</x:v>
      </x:c>
      <x:c r="C147" s="4" t="str">
        <x:v>04-S40</x:v>
      </x:c>
      <x:c r="D147" s="20" t="n">
        <x:v>4.5411557460724525</x:v>
      </x:c>
      <x:c r="E147" s="20" t="n">
        <x:v>2.246321568103053</x:v>
      </x:c>
      <x:c r="F147" s="20" t="n">
        <x:v>2.108777174788678</x:v>
      </x:c>
      <x:c r="G147" s="20" t="n">
        <x:f>E147-F147</x:f>
        <x:v>0.13754439331437496</x:v>
      </x:c>
      <x:c r="H147" s="21" t="n">
        <x:f>E147/F147-1</x:f>
        <x:v>0.06522471646543604</x:v>
      </x:c>
      <x:c r="I147" s="21" t="n">
        <x:v>0.0269783985500136</x:v>
      </x:c>
      <x:c r="J147" s="4" t="str">
        <x:v>否</x:v>
      </x:c>
      <x:c r="K147" s="4" t="str">
        <x:v>原稀疏接受记录</x:v>
      </x:c>
    </x:row>
    <x:row r="148" ht="25" customHeight="1">
      <x:c r="A148" s="4" t="str">
        <x:v>04-J15</x:v>
      </x:c>
      <x:c r="B148" s="4" t="str">
        <x:v>diverse_04</x:v>
      </x:c>
      <x:c r="C148" s="4" t="str">
        <x:v>04-S4</x:v>
      </x:c>
      <x:c r="D148" s="20" t="n">
        <x:v>4.5411557460724525</x:v>
      </x:c>
      <x:c r="E148" s="20" t="n">
        <x:v>2.246321568103053</x:v>
      </x:c>
      <x:c r="F148" s="20" t="n">
        <x:v>2.11573174479058</x:v>
      </x:c>
      <x:c r="G148" s="20" t="n">
        <x:f>E148-F148</x:f>
        <x:v>0.13058982331247293</x:v>
      </x:c>
      <x:c r="H148" s="21" t="n">
        <x:f>E148/F148-1</x:f>
        <x:v>0.06172324238836757</x:v>
      </x:c>
      <x:c r="I148" s="21" t="n">
        <x:v>0.024969430304975823</x:v>
      </x:c>
      <x:c r="J148" s="4" t="str">
        <x:v>是</x:v>
      </x:c>
      <x:c r="K148" s="4" t="str">
        <x:v>原稀疏接受记录</x:v>
      </x:c>
    </x:row>
    <x:row r="149" ht="25" customHeight="1">
      <x:c r="A149" s="4" t="str">
        <x:v>04-J15</x:v>
      </x:c>
      <x:c r="B149" s="4" t="str">
        <x:v>diverse_04</x:v>
      </x:c>
      <x:c r="C149" s="4" t="str">
        <x:v>04-S40</x:v>
      </x:c>
      <x:c r="D149" s="20" t="n">
        <x:v>7.442408950705917</x:v>
      </x:c>
      <x:c r="E149" s="20" t="n">
        <x:v>3.6544427797721504</x:v>
      </x:c>
      <x:c r="F149" s="20" t="n">
        <x:v>3.4258464296043494</x:v>
      </x:c>
      <x:c r="G149" s="20" t="n">
        <x:f>E149-F149</x:f>
        <x:v>0.228596350167801</x:v>
      </x:c>
      <x:c r="H149" s="21" t="n">
        <x:f>E149/F149-1</x:f>
        <x:v>0.06672696948479429</x:v>
      </x:c>
      <x:c r="I149" s="21" t="n">
        <x:v>0.04483762146385406</x:v>
      </x:c>
      <x:c r="J149" s="4" t="str">
        <x:v>否</x:v>
      </x:c>
      <x:c r="K149" s="4" t="str">
        <x:v>原稀疏接受记录</x:v>
      </x:c>
    </x:row>
    <x:row r="150" ht="25" customHeight="1">
      <x:c r="A150" s="4" t="str">
        <x:v>04-J15</x:v>
      </x:c>
      <x:c r="B150" s="4" t="str">
        <x:v>diverse_04</x:v>
      </x:c>
      <x:c r="C150" s="4" t="str">
        <x:v>04-S4</x:v>
      </x:c>
      <x:c r="D150" s="20" t="n">
        <x:v>7.442408950705917</x:v>
      </x:c>
      <x:c r="E150" s="20" t="n">
        <x:v>3.6544427797721504</x:v>
      </x:c>
      <x:c r="F150" s="20" t="n">
        <x:v>3.429569676879661</x:v>
      </x:c>
      <x:c r="G150" s="20" t="n">
        <x:f>E150-F150</x:f>
        <x:v>0.2248731028924893</x:v>
      </x:c>
      <x:c r="H150" s="21" t="n">
        <x:f>E150/F150-1</x:f>
        <x:v>0.06556889758165996</x:v>
      </x:c>
      <x:c r="I150" s="21" t="n">
        <x:v>0.042996867043018444</x:v>
      </x:c>
      <x:c r="J150" s="4" t="str">
        <x:v>是</x:v>
      </x:c>
      <x:c r="K150" s="4" t="str">
        <x:v>原稀疏接受记录</x:v>
      </x:c>
    </x:row>
    <x:row r="151" ht="25" customHeight="1">
      <x:c r="A151" s="4" t="str">
        <x:v>04-J15</x:v>
      </x:c>
      <x:c r="B151" s="4" t="str">
        <x:v>diverse_04</x:v>
      </x:c>
      <x:c r="C151" s="4" t="str">
        <x:v>04-S40</x:v>
      </x:c>
      <x:c r="D151" s="20" t="n">
        <x:v>10.64106457601845</x:v>
      </x:c>
      <x:c r="E151" s="20" t="n">
        <x:v>5.138278515107469</x:v>
      </x:c>
      <x:c r="F151" s="20" t="n">
        <x:v>4.800739797892302</x:v>
      </x:c>
      <x:c r="G151" s="20" t="n">
        <x:f>E151-F151</x:f>
        <x:v>0.3375387172151676</x:v>
      </x:c>
      <x:c r="H151" s="21" t="n">
        <x:f>E151/F151-1</x:f>
        <x:v>0.07030972963028725</x:v>
      </x:c>
      <x:c r="I151" s="21" t="n">
        <x:v>0.06620592682594952</x:v>
      </x:c>
      <x:c r="J151" s="4" t="str">
        <x:v>否</x:v>
      </x:c>
      <x:c r="K151" s="4" t="str">
        <x:v>原稀疏接受记录</x:v>
      </x:c>
    </x:row>
    <x:row r="152" ht="25" customHeight="1">
      <x:c r="A152" s="4" t="str">
        <x:v>04-J15</x:v>
      </x:c>
      <x:c r="B152" s="4" t="str">
        <x:v>diverse_04</x:v>
      </x:c>
      <x:c r="C152" s="4" t="str">
        <x:v>04-S4</x:v>
      </x:c>
      <x:c r="D152" s="20" t="n">
        <x:v>10.64106457601845</x:v>
      </x:c>
      <x:c r="E152" s="20" t="n">
        <x:v>5.138278515107469</x:v>
      </x:c>
      <x:c r="F152" s="20" t="n">
        <x:v>4.800725874164617</x:v>
      </x:c>
      <x:c r="G152" s="20" t="n">
        <x:f>E152-F152</x:f>
        <x:v>0.3375526409428522</x:v>
      </x:c>
      <x:c r="H152" s="21" t="n">
        <x:f>E152/F152-1</x:f>
        <x:v>0.07031283389026877</x:v>
      </x:c>
      <x:c r="I152" s="21" t="n">
        <x:v>0.06454176082400788</x:v>
      </x:c>
      <x:c r="J152" s="4" t="str">
        <x:v>是</x:v>
      </x:c>
      <x:c r="K152" s="4" t="str">
        <x:v>原稀疏接受记录</x:v>
      </x:c>
    </x:row>
    <x:row r="153" ht="25" customHeight="1">
      <x:c r="A153" s="4" t="str">
        <x:v>04-J15</x:v>
      </x:c>
      <x:c r="B153" s="4" t="str">
        <x:v>diverse_04</x:v>
      </x:c>
      <x:c r="C153" s="4" t="str">
        <x:v>04-S40</x:v>
      </x:c>
      <x:c r="D153" s="20" t="n">
        <x:v>13.764695394039302</x:v>
      </x:c>
      <x:c r="E153" s="20" t="n">
        <x:v>6.440897653076306</x:v>
      </x:c>
      <x:c r="F153" s="20" t="n">
        <x:v>1.5613285786262716</x:v>
      </x:c>
      <x:c r="G153" s="20" t="n">
        <x:f>E153-F153</x:f>
        <x:v>4.879569074450034</x:v>
      </x:c>
      <x:c r="H153" s="21" t="n">
        <x:f>E153/F153-1</x:f>
        <x:v>3.1252672507559573</x:v>
      </x:c>
      <x:c r="I153" s="21" t="n">
        <x:v>0.9570943320237526</x:v>
      </x:c>
      <x:c r="J153" s="4" t="str">
        <x:v>否</x:v>
      </x:c>
      <x:c r="K153" s="4" t="str">
        <x:v>原稀疏接受记录</x:v>
      </x:c>
    </x:row>
    <x:row r="154" ht="25" customHeight="1">
      <x:c r="A154" s="4" t="str">
        <x:v>04-J15</x:v>
      </x:c>
      <x:c r="B154" s="4" t="str">
        <x:v>diverse_04</x:v>
      </x:c>
      <x:c r="C154" s="4" t="str">
        <x:v>04-S4</x:v>
      </x:c>
      <x:c r="D154" s="20" t="n">
        <x:v>13.764695394039302</x:v>
      </x:c>
      <x:c r="E154" s="20" t="n">
        <x:v>6.440897653076306</x:v>
      </x:c>
      <x:c r="F154" s="20" t="n">
        <x:v>1.9323001092784646</x:v>
      </x:c>
      <x:c r="G154" s="20" t="n">
        <x:f>E154-F154</x:f>
        <x:v>4.5085975437978405</x:v>
      </x:c>
      <x:c r="H154" s="21" t="n">
        <x:f>E154/F154-1</x:f>
        <x:v>2.3332801784508437</x:v>
      </x:c>
      <x:c r="I154" s="21" t="n">
        <x:v>0.8620665017186899</x:v>
      </x:c>
      <x:c r="J154" s="4" t="str">
        <x:v>是</x:v>
      </x:c>
      <x:c r="K154" s="4" t="str">
        <x:v>原稀疏接受记录</x:v>
      </x:c>
    </x:row>
    <x:row r="155" ht="25" customHeight="1">
      <x:c r="A155" s="4" t="str">
        <x:v>04-J15</x:v>
      </x:c>
      <x:c r="B155" s="4" t="str">
        <x:v>diverse_04</x:v>
      </x:c>
      <x:c r="C155" s="4" t="str">
        <x:v>04-S40</x:v>
      </x:c>
      <x:c r="D155" s="20" t="n">
        <x:v>15.966239917005407</x:v>
      </x:c>
      <x:c r="E155" s="20" t="n">
        <x:v>7.070239787769475</x:v>
      </x:c>
      <x:c r="F155" s="20" t="n">
        <x:v>1.43897641507156</x:v>
      </x:c>
      <x:c r="G155" s="20" t="n">
        <x:f>E155-F155</x:f>
        <x:v>5.631263372697916</x:v>
      </x:c>
      <x:c r="H155" s="21" t="n">
        <x:f>E155/F155-1</x:f>
        <x:v>3.9133812852783088</x:v>
      </x:c>
      <x:c r="I155" s="21" t="n">
        <x:v>1.10453406313335</x:v>
      </x:c>
      <x:c r="J155" s="4" t="str">
        <x:v>否</x:v>
      </x:c>
      <x:c r="K155" s="4" t="str">
        <x:v>原稀疏接受记录</x:v>
      </x:c>
    </x:row>
    <x:row r="156" ht="25" customHeight="1">
      <x:c r="A156" s="4" t="str">
        <x:v>04-J15</x:v>
      </x:c>
      <x:c r="B156" s="4" t="str">
        <x:v>diverse_04</x:v>
      </x:c>
      <x:c r="C156" s="4" t="str">
        <x:v>04-S4</x:v>
      </x:c>
      <x:c r="D156" s="20" t="n">
        <x:v>15.966239917005407</x:v>
      </x:c>
      <x:c r="E156" s="20" t="n">
        <x:v>7.070239787769475</x:v>
      </x:c>
      <x:c r="F156" s="20" t="n">
        <x:v>1.343873859580698</x:v>
      </x:c>
      <x:c r="G156" s="20" t="n">
        <x:f>E156-F156</x:f>
        <x:v>5.726365928188777</x:v>
      </x:c>
      <x:c r="H156" s="21" t="n">
        <x:f>E156/F156-1</x:f>
        <x:v>4.261088856937406</x:v>
      </x:c>
      <x:c r="I156" s="21" t="n">
        <x:v>1.0949099349232454</x:v>
      </x:c>
      <x:c r="J156" s="4" t="str">
        <x:v>是</x:v>
      </x:c>
      <x:c r="K156" s="4" t="str">
        <x:v>原稀疏接受记录</x:v>
      </x:c>
    </x:row>
    <x:row r="157" ht="25" customHeight="1">
      <x:c r="A157" s="4" t="str">
        <x:v>04-J15</x:v>
      </x:c>
      <x:c r="B157" s="4" t="str">
        <x:v>diverse_04</x:v>
      </x:c>
      <x:c r="C157" s="4" t="str">
        <x:v>04-S40</x:v>
      </x:c>
      <x:c r="D157" s="20" t="n">
        <x:v>16.090908561872872</x:v>
      </x:c>
      <x:c r="E157" s="20" t="n">
        <x:v>7.0304913460764435</x:v>
      </x:c>
      <x:c r="F157" s="20" t="n">
        <x:v>1.570340746136754</x:v>
      </x:c>
      <x:c r="G157" s="20" t="n">
        <x:f>E157-F157</x:f>
        <x:v>5.4601505999396895</x:v>
      </x:c>
      <x:c r="H157" s="21" t="n">
        <x:f>E157/F157-1</x:f>
        <x:v>3.4770482860948375</x:v>
      </x:c>
      <x:c r="I157" s="21" t="n">
        <x:v>1.070971454951146</x:v>
      </x:c>
      <x:c r="J157" s="4" t="str">
        <x:v>否</x:v>
      </x:c>
      <x:c r="K157" s="4" t="str">
        <x:v>原稀疏接受记录</x:v>
      </x:c>
    </x:row>
    <x:row r="158" ht="25" customHeight="1">
      <x:c r="A158" s="4" t="str">
        <x:v>04-J15</x:v>
      </x:c>
      <x:c r="B158" s="4" t="str">
        <x:v>diverse_04</x:v>
      </x:c>
      <x:c r="C158" s="4" t="str">
        <x:v>04-S4</x:v>
      </x:c>
      <x:c r="D158" s="20" t="n">
        <x:v>16.090908561872872</x:v>
      </x:c>
      <x:c r="E158" s="20" t="n">
        <x:v>7.0304913460764435</x:v>
      </x:c>
      <x:c r="F158" s="20" t="n">
        <x:v>1.729865955840578</x:v>
      </x:c>
      <x:c r="G158" s="20" t="n">
        <x:f>E158-F158</x:f>
        <x:v>5.300625390235865</x:v>
      </x:c>
      <x:c r="H158" s="21" t="n">
        <x:f>E158/F158-1</x:f>
        <x:v>3.0641827318118304</x:v>
      </x:c>
      <x:c r="I158" s="21" t="n">
        <x:v>1.013506205131976</x:v>
      </x:c>
      <x:c r="J158" s="4" t="str">
        <x:v>是</x:v>
      </x:c>
      <x:c r="K158" s="4" t="str">
        <x:v>原稀疏接受记录</x:v>
      </x:c>
    </x:row>
    <x:row r="159" ht="25" customHeight="1">
      <x:c r="A159" s="4" t="str">
        <x:v>04-J15</x:v>
      </x:c>
      <x:c r="B159" s="4" t="str">
        <x:v>diverse_04</x:v>
      </x:c>
      <x:c r="C159" s="4" t="str">
        <x:v>04-S40</x:v>
      </x:c>
      <x:c r="D159" s="20" t="n">
        <x:v>16.274673971203026</x:v>
      </x:c>
      <x:c r="E159" s="20" t="n">
        <x:v>6.6556565076805825</x:v>
      </x:c>
      <x:c r="F159" s="20" t="n">
        <x:v>1.8182656217071547</x:v>
      </x:c>
      <x:c r="G159" s="20" t="n">
        <x:f>E159-F159</x:f>
        <x:v>4.837390885973428</x:v>
      </x:c>
      <x:c r="H159" s="21" t="n">
        <x:f>E159/F159-1</x:f>
        <x:v>2.6604423623384803</x:v>
      </x:c>
      <x:c r="I159" s="21" t="n">
        <x:v>0.9488213668274276</x:v>
      </x:c>
      <x:c r="J159" s="4" t="str">
        <x:v>否</x:v>
      </x:c>
      <x:c r="K159" s="4" t="str">
        <x:v>原稀疏接受记录</x:v>
      </x:c>
    </x:row>
    <x:row r="160" ht="25" customHeight="1">
      <x:c r="A160" s="4" t="str">
        <x:v>04-J15</x:v>
      </x:c>
      <x:c r="B160" s="4" t="str">
        <x:v>diverse_04</x:v>
      </x:c>
      <x:c r="C160" s="4" t="str">
        <x:v>04-S4</x:v>
      </x:c>
      <x:c r="D160" s="20" t="n">
        <x:v>16.274673971203026</x:v>
      </x:c>
      <x:c r="E160" s="20" t="n">
        <x:v>6.6556565076805825</x:v>
      </x:c>
      <x:c r="F160" s="20" t="n">
        <x:v>1.904256056884036</x:v>
      </x:c>
      <x:c r="G160" s="20" t="n">
        <x:f>E160-F160</x:f>
        <x:v>4.751400450796546</x:v>
      </x:c>
      <x:c r="H160" s="21" t="n">
        <x:f>E160/F160-1</x:f>
        <x:v>2.4951478734279764</x:v>
      </x:c>
      <x:c r="I160" s="21" t="n">
        <x:v>0.9084916373867512</x:v>
      </x:c>
      <x:c r="J160" s="4" t="str">
        <x:v>是</x:v>
      </x:c>
      <x:c r="K160" s="4" t="str">
        <x:v>原稀疏接受记录</x:v>
      </x:c>
    </x:row>
    <x:row r="161" ht="25" customHeight="1">
      <x:c r="A161" s="4" t="str">
        <x:v>04-J15</x:v>
      </x:c>
      <x:c r="B161" s="4" t="str">
        <x:v>diverse_04</x:v>
      </x:c>
      <x:c r="C161" s="4" t="str">
        <x:v>04-S40</x:v>
      </x:c>
      <x:c r="D161" s="20" t="n">
        <x:v>16.484038947528486</x:v>
      </x:c>
      <x:c r="E161" s="20" t="n">
        <x:v>3.9469511224357228</x:v>
      </x:c>
      <x:c r="F161" s="20" t="n">
        <x:v>1.693004771366924</x:v>
      </x:c>
      <x:c r="G161" s="20" t="n">
        <x:f>E161-F161</x:f>
        <x:v>2.253946351068799</x:v>
      </x:c>
      <x:c r="H161" s="21" t="n">
        <x:f>E161/F161-1</x:f>
        <x:v>1.331329001068894</x:v>
      </x:c>
      <x:c r="I161" s="21" t="n">
        <x:v>0.4420962680063515</x:v>
      </x:c>
      <x:c r="J161" s="4" t="str">
        <x:v>否</x:v>
      </x:c>
      <x:c r="K161" s="4" t="str">
        <x:v>原稀疏接受记录</x:v>
      </x:c>
    </x:row>
    <x:row r="162" ht="25" customHeight="1">
      <x:c r="A162" s="4" t="str">
        <x:v>04-J15</x:v>
      </x:c>
      <x:c r="B162" s="4" t="str">
        <x:v>diverse_04</x:v>
      </x:c>
      <x:c r="C162" s="4" t="str">
        <x:v>04-S4</x:v>
      </x:c>
      <x:c r="D162" s="20" t="n">
        <x:v>16.484038947528486</x:v>
      </x:c>
      <x:c r="E162" s="20" t="n">
        <x:v>3.9469511224357228</x:v>
      </x:c>
      <x:c r="F162" s="20" t="n">
        <x:v>2.0537546277629883</x:v>
      </x:c>
      <x:c r="G162" s="20" t="n">
        <x:f>E162-F162</x:f>
        <x:v>1.8931964946727344</x:v>
      </x:c>
      <x:c r="H162" s="21" t="n">
        <x:f>E162/F162-1</x:f>
        <x:v>0.9218221442231691</x:v>
      </x:c>
      <x:c r="I162" s="21" t="n">
        <x:v>0.361988681263805</x:v>
      </x:c>
      <x:c r="J162" s="4" t="str">
        <x:v>是</x:v>
      </x:c>
      <x:c r="K162" s="4" t="str">
        <x:v>原稀疏接受记录</x:v>
      </x:c>
    </x:row>
    <x:row r="163" ht="25" customHeight="1">
      <x:c r="A163" s="4" t="str">
        <x:v>04-J15</x:v>
      </x:c>
      <x:c r="B163" s="4" t="str">
        <x:v>diverse_04</x:v>
      </x:c>
      <x:c r="C163" s="4" t="str">
        <x:v>04-S40</x:v>
      </x:c>
      <x:c r="D163" s="20" t="n">
        <x:v>16.773457067355118</x:v>
      </x:c>
      <x:c r="E163" s="20" t="n">
        <x:v>0.650167255791533</x:v>
      </x:c>
      <x:c r="F163" s="20" t="n">
        <x:v>1.7375242284860926</x:v>
      </x:c>
      <x:c r="G163" s="20" t="n">
        <x:f>E163-F163</x:f>
        <x:v>-1.0873569726945596</x:v>
      </x:c>
      <x:c r="H163" s="21" t="n">
        <x:f>E163/F163-1</x:f>
        <x:v>-0.6258082361487272</x:v>
      </x:c>
      <x:c r="I163" s="21" t="n">
        <x:v>-0.21327768488855028</x:v>
      </x:c>
      <x:c r="J163" s="4" t="str">
        <x:v>否</x:v>
      </x:c>
      <x:c r="K163" s="4" t="str">
        <x:v>原稀疏接受记录</x:v>
      </x:c>
    </x:row>
    <x:row r="164" ht="25" customHeight="1">
      <x:c r="A164" s="4" t="str">
        <x:v>04-J15</x:v>
      </x:c>
      <x:c r="B164" s="4" t="str">
        <x:v>diverse_04</x:v>
      </x:c>
      <x:c r="C164" s="4" t="str">
        <x:v>04-S4</x:v>
      </x:c>
      <x:c r="D164" s="20" t="n">
        <x:v>16.773457067355118</x:v>
      </x:c>
      <x:c r="E164" s="20" t="n">
        <x:v>0.650167255791533</x:v>
      </x:c>
      <x:c r="F164" s="20" t="n">
        <x:v>1.529518959752574</x:v>
      </x:c>
      <x:c r="G164" s="20" t="n">
        <x:f>E164-F164</x:f>
        <x:v>-0.879351703961041</x:v>
      </x:c>
      <x:c r="H164" s="21" t="n">
        <x:f>E164/F164-1</x:f>
        <x:v>-0.5749204338750343</x:v>
      </x:c>
      <x:c r="I164" s="21" t="n">
        <x:v>-0.16813646368966173</x:v>
      </x:c>
      <x:c r="J164" s="4" t="str">
        <x:v>是</x:v>
      </x:c>
      <x:c r="K164" s="4" t="str">
        <x:v>原稀疏接受记录</x:v>
      </x:c>
    </x:row>
    <x:row r="165" ht="25" customHeight="1">
      <x:c r="A165" s="4" t="str">
        <x:v>04-J15</x:v>
      </x:c>
      <x:c r="B165" s="4" t="str">
        <x:v>diverse_04</x:v>
      </x:c>
      <x:c r="C165" s="4" t="str">
        <x:v>04-S40</x:v>
      </x:c>
      <x:c r="D165" s="20" t="n">
        <x:v>17.051131841193474</x:v>
      </x:c>
      <x:c r="E165" s="20" t="n">
        <x:v>0.8645502452061034</x:v>
      </x:c>
      <x:c r="F165" s="20" t="n">
        <x:v>1.8468086921703653</x:v>
      </x:c>
      <x:c r="G165" s="20" t="n">
        <x:f>E165-F165</x:f>
        <x:v>-0.9822584469642619</x:v>
      </x:c>
      <x:c r="H165" s="21" t="n">
        <x:f>E165/F165-1</x:f>
        <x:v>-0.5318680007997547</x:v>
      </x:c>
      <x:c r="I165" s="21" t="n">
        <x:v>-0.19266332289350924</x:v>
      </x:c>
      <x:c r="J165" s="4" t="str">
        <x:v>否</x:v>
      </x:c>
      <x:c r="K165" s="4" t="str">
        <x:v>原稀疏接受记录</x:v>
      </x:c>
    </x:row>
    <x:row r="166" ht="25" customHeight="1">
      <x:c r="A166" s="4" t="str">
        <x:v>04-J15</x:v>
      </x:c>
      <x:c r="B166" s="4" t="str">
        <x:v>diverse_04</x:v>
      </x:c>
      <x:c r="C166" s="4" t="str">
        <x:v>04-S4</x:v>
      </x:c>
      <x:c r="D166" s="20" t="n">
        <x:v>17.051131841193474</x:v>
      </x:c>
      <x:c r="E166" s="20" t="n">
        <x:v>0.8645502452061034</x:v>
      </x:c>
      <x:c r="F166" s="20" t="n">
        <x:v>0.3160737549941659</x:v>
      </x:c>
      <x:c r="G166" s="20" t="n">
        <x:f>E166-F166</x:f>
        <x:v>0.5484764902119375</x:v>
      </x:c>
      <x:c r="H166" s="21" t="n">
        <x:f>E166/F166-1</x:f>
        <x:v>1.7352800779743993</x:v>
      </x:c>
      <x:c r="I166" s="21" t="n">
        <x:v>0.10487146049271569</x:v>
      </x:c>
      <x:c r="J166" s="4" t="str">
        <x:v>是</x:v>
      </x:c>
      <x:c r="K166" s="4" t="str">
        <x:v>原稀疏接受记录</x:v>
      </x:c>
    </x:row>
    <x:row r="167" ht="25" customHeight="1">
      <x:c r="A167" s="4" t="str">
        <x:v>04-J15</x:v>
      </x:c>
      <x:c r="B167" s="4" t="str">
        <x:v>diverse_04</x:v>
      </x:c>
      <x:c r="C167" s="4" t="str">
        <x:v>04-S40</x:v>
      </x:c>
      <x:c r="D167" s="20" t="n">
        <x:v>17.3166980159302</x:v>
      </x:c>
      <x:c r="E167" s="20" t="n">
        <x:v>1.6543058050474124</x:v>
      </x:c>
      <x:c r="F167" s="20" t="n">
        <x:v>1.8455579807375808</x:v>
      </x:c>
      <x:c r="G167" s="20" t="n">
        <x:f>E167-F167</x:f>
        <x:v>-0.1912521756901684</x:v>
      </x:c>
      <x:c r="H167" s="21" t="n">
        <x:f>E167/F167-1</x:f>
        <x:v>-0.10362837563831728</x:v>
      </x:c>
      <x:c r="I167" s="21" t="n">
        <x:v>-0.03751281528090713</x:v>
      </x:c>
      <x:c r="J167" s="4" t="str">
        <x:v>否</x:v>
      </x:c>
      <x:c r="K167" s="4" t="str">
        <x:v>原稀疏接受记录</x:v>
      </x:c>
    </x:row>
    <x:row r="168" ht="25" customHeight="1">
      <x:c r="A168" s="4" t="str">
        <x:v>04-J15</x:v>
      </x:c>
      <x:c r="B168" s="4" t="str">
        <x:v>diverse_04</x:v>
      </x:c>
      <x:c r="C168" s="4" t="str">
        <x:v>04-S4</x:v>
      </x:c>
      <x:c r="D168" s="20" t="n">
        <x:v>17.3166980159302</x:v>
      </x:c>
      <x:c r="E168" s="20" t="n">
        <x:v>1.6543058050474124</x:v>
      </x:c>
      <x:c r="F168" s="20" t="n">
        <x:v>1.1040987919688416</x:v>
      </x:c>
      <x:c r="G168" s="20" t="n">
        <x:f>E168-F168</x:f>
        <x:v>0.5502070130785708</x:v>
      </x:c>
      <x:c r="H168" s="21" t="n">
        <x:f>E168/F168-1</x:f>
        <x:v>0.4983313242263723</x:v>
      </x:c>
      <x:c r="I168" s="21" t="n">
        <x:v>0.10520234515902062</x:v>
      </x:c>
      <x:c r="J168" s="4" t="str">
        <x:v>是</x:v>
      </x:c>
      <x:c r="K168" s="4" t="str">
        <x:v>原稀疏接受记录</x:v>
      </x:c>
    </x:row>
    <x:row r="169" ht="25" customHeight="1">
      <x:c r="A169" s="4" t="str">
        <x:v>04-Rfail</x:v>
      </x:c>
      <x:c r="B169" s="4" t="str">
        <x:v>diverse_04</x:v>
      </x:c>
      <x:c r="C169" s="4" t="str">
        <x:v>04-S4</x:v>
      </x:c>
      <x:c r="D169" s="20" t="n">
        <x:v>15.968200951565237</x:v>
      </x:c>
      <x:c r="E169" s="20" t="n">
        <x:v>7.070019827799928</x:v>
      </x:c>
      <x:c r="F169" s="20" t="n">
        <x:v>1.3343899478009729</x:v>
      </x:c>
      <x:c r="G169" s="20" t="n">
        <x:f>E169-F169</x:f>
        <x:v>5.735629879998956</x:v>
      </x:c>
      <x:c r="H169" s="21" t="n">
        <x:f>E169/F169-1</x:f>
        <x:v>4.298316162716206</x:v>
      </x:c>
      <x:c r="I169" s="21" t="n">
        <x:v>1.0966812490517548</x:v>
      </x:c>
      <x:c r="J169" s="4" t="str">
        <x:v>是</x:v>
      </x:c>
      <x:c r="K169" s="4" t="str">
        <x:v>局部重放接受记录</x:v>
      </x:c>
    </x:row>
    <x:row r="170" ht="25" customHeight="1">
      <x:c r="A170" s="4" t="str">
        <x:v>04-Rfail</x:v>
      </x:c>
      <x:c r="B170" s="4" t="str">
        <x:v>diverse_04</x:v>
      </x:c>
      <x:c r="C170" s="4" t="str">
        <x:v>04-S4</x:v>
      </x:c>
      <x:c r="D170" s="20" t="n">
        <x:v>15.970161573085148</x:v>
      </x:c>
      <x:c r="E170" s="20" t="n">
        <x:v>7.069793157686906</x:v>
      </x:c>
      <x:c r="F170" s="20" t="n">
        <x:v>1.324908033555729</x:v>
      </x:c>
      <x:c r="G170" s="20" t="n">
        <x:f>E170-F170</x:f>
        <x:v>5.7448851241311765</x:v>
      </x:c>
      <x:c r="H170" s="21" t="n">
        <x:f>E170/F170-1</x:f>
        <x:v>4.336063318080509</x:v>
      </x:c>
      <x:c r="I170" s="21" t="n">
        <x:v>1.0984508982284908</x:v>
      </x:c>
      <x:c r="J170" s="4" t="str">
        <x:v>是</x:v>
      </x:c>
      <x:c r="K170" s="4" t="str">
        <x:v>局部重放接受记录</x:v>
      </x:c>
    </x:row>
    <x:row r="171" ht="25" customHeight="1">
      <x:c r="A171" s="4" t="str">
        <x:v>04-Rfail</x:v>
      </x:c>
      <x:c r="B171" s="4" t="str">
        <x:v>diverse_04</x:v>
      </x:c>
      <x:c r="C171" s="4" t="str">
        <x:v>04-S4</x:v>
      </x:c>
      <x:c r="D171" s="20" t="n">
        <x:v>15.97212178144729</x:v>
      </x:c>
      <x:c r="E171" s="20" t="n">
        <x:v>7.069559619127223</x:v>
      </x:c>
      <x:c r="F171" s="20" t="n">
        <x:v>1.3154281174149112</x:v>
      </x:c>
      <x:c r="G171" s="20" t="n">
        <x:f>E171-F171</x:f>
        <x:v>5.754131501712312</x:v>
      </x:c>
      <x:c r="H171" s="21" t="n">
        <x:f>E171/F171-1</x:f>
        <x:v>4.374341269989251</x:v>
      </x:c>
      <x:c r="I171" s="21" t="n">
        <x:v>1.1002188520761134</x:v>
      </x:c>
      <x:c r="J171" s="4" t="str">
        <x:v>是</x:v>
      </x:c>
      <x:c r="K171" s="4" t="str">
        <x:v>局部重放接受记录</x:v>
      </x:c>
    </x:row>
    <x:row r="172" ht="25" customHeight="1">
      <x:c r="A172" s="4" t="str">
        <x:v>04-Rfail</x:v>
      </x:c>
      <x:c r="B172" s="4" t="str">
        <x:v>diverse_04</x:v>
      </x:c>
      <x:c r="C172" s="4" t="str">
        <x:v>04-S4</x:v>
      </x:c>
      <x:c r="D172" s="20" t="n">
        <x:v>15.974081576533811</x:v>
      </x:c>
      <x:c r="E172" s="20" t="n">
        <x:v>7.06931899859217</x:v>
      </x:c>
      <x:c r="F172" s="20" t="n">
        <x:v>1.3059501999484768</x:v>
      </x:c>
      <x:c r="G172" s="20" t="n">
        <x:f>E172-F172</x:f>
        <x:v>5.763368798643693</x:v>
      </x:c>
      <x:c r="H172" s="21" t="n">
        <x:f>E172/F172-1</x:f>
        <x:v>4.4131612360648</x:v>
      </x:c>
      <x:c r="I172" s="21" t="n">
        <x:v>1.1019850696578817</x:v>
      </x:c>
      <x:c r="J172" s="4" t="str">
        <x:v>是</x:v>
      </x:c>
      <x:c r="K172" s="4" t="str">
        <x:v>局部重放接受记录</x:v>
      </x:c>
    </x:row>
    <x:row r="173" ht="25" customHeight="1">
      <x:c r="A173" s="4" t="str">
        <x:v>04-Rfail</x:v>
      </x:c>
      <x:c r="B173" s="4" t="str">
        <x:v>diverse_04</x:v>
      </x:c>
      <x:c r="C173" s="4" t="str">
        <x:v>04-S4</x:v>
      </x:c>
      <x:c r="D173" s="20" t="n">
        <x:v>15.976040958226953</x:v>
      </x:c>
      <x:c r="E173" s="20" t="n">
        <x:v>7.069071051706623</x:v>
      </x:c>
      <x:c r="F173" s="20" t="n">
        <x:v>1.2964742817259145</x:v>
      </x:c>
      <x:c r="G173" s="20" t="n">
        <x:f>E173-F173</x:f>
        <x:v>5.772596769980709</x:v>
      </x:c>
      <x:c r="H173" s="21" t="n">
        <x:f>E173/F173-1</x:f>
        <x:v>4.452534733119437</x:v>
      </x:c>
      <x:c r="I173" s="21" t="n">
        <x:v>1.103749504139155</x:v>
      </x:c>
      <x:c r="J173" s="4" t="str">
        <x:v>是</x:v>
      </x:c>
      <x:c r="K173" s="4" t="str">
        <x:v>局部重放接受记录</x:v>
      </x:c>
    </x:row>
    <x:row r="174" ht="25" customHeight="1">
      <x:c r="A174" s="4" t="str">
        <x:v>04-Rfail</x:v>
      </x:c>
      <x:c r="B174" s="4" t="str">
        <x:v>diverse_04</x:v>
      </x:c>
      <x:c r="C174" s="4" t="str">
        <x:v>04-S4</x:v>
      </x:c>
      <x:c r="D174" s="20" t="n">
        <x:v>15.977999926408993</x:v>
      </x:c>
      <x:c r="E174" s="20" t="n">
        <x:v>7.0688155190145014</x:v>
      </x:c>
      <x:c r="F174" s="20" t="n">
        <x:v>1.287000363316564</x:v>
      </x:c>
      <x:c r="G174" s="20" t="n">
        <x:f>E174-F174</x:f>
        <x:v>5.781815155697937</x:v>
      </x:c>
      <x:c r="H174" s="21" t="n">
        <x:f>E174/F174-1</x:f>
        <x:v>4.492473600239211</x:v>
      </x:c>
      <x:c r="I174" s="21" t="n">
        <x:v>1.1055121058017665</x:v>
      </x:c>
      <x:c r="J174" s="4" t="str">
        <x:v>是</x:v>
      </x:c>
      <x:c r="K174" s="4" t="str">
        <x:v>局部重放接受记录</x:v>
      </x:c>
    </x:row>
    <x:row r="175" ht="25" customHeight="1">
      <x:c r="A175" s="4" t="str">
        <x:v>04-Rfail</x:v>
      </x:c>
      <x:c r="B175" s="4" t="str">
        <x:v>diverse_04</x:v>
      </x:c>
      <x:c r="C175" s="4" t="str">
        <x:v>04-S4</x:v>
      </x:c>
      <x:c r="D175" s="20" t="n">
        <x:v>15.979958480962269</x:v>
      </x:c>
      <x:c r="E175" s="20" t="n">
        <x:v>7.068552129783723</x:v>
      </x:c>
      <x:c r="F175" s="20" t="n">
        <x:v>1.277528445289444</x:v>
      </x:c>
      <x:c r="G175" s="20" t="n">
        <x:f>E175-F175</x:f>
        <x:v>5.791023684494279</x:v>
      </x:c>
      <x:c r="H175" s="21" t="n">
        <x:f>E175/F175-1</x:f>
        <x:v>4.532990013527434</x:v>
      </x:c>
      <x:c r="I175" s="21" t="n">
        <x:v>1.1072728227715831</x:v>
      </x:c>
      <x:c r="J175" s="4" t="str">
        <x:v>是</x:v>
      </x:c>
      <x:c r="K175" s="4" t="str">
        <x:v>局部重放接受记录</x:v>
      </x:c>
    </x:row>
    <x:row r="176" ht="25" customHeight="1">
      <x:c r="A176" s="4" t="str">
        <x:v>04-Rfail</x:v>
      </x:c>
      <x:c r="B176" s="4" t="str">
        <x:v>diverse_04</x:v>
      </x:c>
      <x:c r="C176" s="4" t="str">
        <x:v>04-S4</x:v>
      </x:c>
      <x:c r="D176" s="20" t="n">
        <x:v>15.981916621769152</x:v>
      </x:c>
      <x:c r="E176" s="20" t="n">
        <x:v>7.068280594256743</x:v>
      </x:c>
      <x:c r="F176" s="20" t="n">
        <x:v>1.2680585282134516</x:v>
      </x:c>
      <x:c r="G176" s="20" t="n">
        <x:f>E176-F176</x:f>
        <x:v>5.8002220660432915</x:v>
      </x:c>
      <x:c r="H176" s="21" t="n">
        <x:f>E176/F176-1</x:f>
        <x:v>4.574096492387569</x:v>
      </x:c>
      <x:c r="I176" s="21" t="n">
        <x:v>1.1090315995367304</x:v>
      </x:c>
      <x:c r="J176" s="4" t="str">
        <x:v>是</x:v>
      </x:c>
      <x:c r="K176" s="4" t="str">
        <x:v>局部重放接受记录</x:v>
      </x:c>
    </x:row>
    <x:row r="177" ht="25" customHeight="1">
      <x:c r="A177" s="4" t="str">
        <x:v>04-Rfail</x:v>
      </x:c>
      <x:c r="B177" s="4" t="str">
        <x:v>diverse_04</x:v>
      </x:c>
      <x:c r="C177" s="4" t="str">
        <x:v>04-S4</x:v>
      </x:c>
      <x:c r="D177" s="20" t="n">
        <x:v>15.98387434871209</x:v>
      </x:c>
      <x:c r="E177" s="20" t="n">
        <x:v>7.0680005884587365</x:v>
      </x:c>
      <x:c r="F177" s="20" t="n">
        <x:v>1.258590612657068</x:v>
      </x:c>
      <x:c r="G177" s="20" t="n">
        <x:f>E177-F177</x:f>
        <x:v>5.809409975801668</x:v>
      </x:c>
      <x:c r="H177" s="21" t="n">
        <x:f>E177/F177-1</x:f>
        <x:v>4.615805900170476</x:v>
      </x:c>
      <x:c r="I177" s="21" t="n">
        <x:v>1.1107883740428972</x:v>
      </x:c>
      <x:c r="J177" s="4" t="str">
        <x:v>是</x:v>
      </x:c>
      <x:c r="K177" s="4" t="str">
        <x:v>局部重放接受记录</x:v>
      </x:c>
    </x:row>
    <x:row r="178" ht="25" customHeight="1">
      <x:c r="A178" s="4" t="str">
        <x:v>04-Rfail</x:v>
      </x:c>
      <x:c r="B178" s="4" t="str">
        <x:v>diverse_04</x:v>
      </x:c>
      <x:c r="C178" s="4" t="str">
        <x:v>04-S4</x:v>
      </x:c>
      <x:c r="D178" s="20" t="n">
        <x:v>15.985831661673553</x:v>
      </x:c>
      <x:c r="E178" s="20" t="n">
        <x:v>7.067711737966076</x:v>
      </x:c>
      <x:c r="F178" s="20" t="n">
        <x:v>1.2491246991887075</x:v>
      </x:c>
      <x:c r="G178" s="20" t="n">
        <x:f>E178-F178</x:f>
        <x:v>5.818587038777368</x:v>
      </x:c>
      <x:c r="H178" s="21" t="n">
        <x:f>E178/F178-1</x:f>
        <x:v>4.658131444007532</x:v>
      </x:c>
      <x:c r="I178" s="21" t="n">
        <x:v>1.1125430745897218</x:v>
      </x:c>
      <x:c r="J178" s="4" t="str">
        <x:v>是</x:v>
      </x:c>
      <x:c r="K178" s="4" t="str">
        <x:v>局部重放接受记录</x:v>
      </x:c>
    </x:row>
    <x:row r="179" ht="25" customHeight="1">
      <x:c r="A179" s="4" t="str">
        <x:v>04-Rfail</x:v>
      </x:c>
      <x:c r="B179" s="4" t="str">
        <x:v>diverse_04</x:v>
      </x:c>
      <x:c r="C179" s="4" t="str">
        <x:v>04-S4</x:v>
      </x:c>
      <x:c r="D179" s="20" t="n">
        <x:v>15.987788560536076</x:v>
      </x:c>
      <x:c r="E179" s="20" t="n">
        <x:v>7.067413606910378</x:v>
      </x:c>
      <x:c r="F179" s="20" t="n">
        <x:v>1.2396607883764355</x:v>
      </x:c>
      <x:c r="G179" s="20" t="n">
        <x:f>E179-F179</x:f>
        <x:v>5.827752818533943</x:v>
      </x:c>
      <x:c r="H179" s="21" t="n">
        <x:f>E179/F179-1</x:f>
        <x:v>4.7010866788538666</x:v>
      </x:c>
      <x:c r="I179" s="21" t="n">
        <x:v>1.1142956177283623</x:v>
      </x:c>
      <x:c r="J179" s="4" t="str">
        <x:v>是</x:v>
      </x:c>
      <x:c r="K179" s="4" t="str">
        <x:v>局部重放接受记录</x:v>
      </x:c>
    </x:row>
    <x:row r="180" ht="25" customHeight="1">
      <x:c r="A180" s="4" t="str">
        <x:v>04-Rfail</x:v>
      </x:c>
      <x:c r="B180" s="4" t="str">
        <x:v>diverse_04</x:v>
      </x:c>
      <x:c r="C180" s="4" t="str">
        <x:v>04-S4</x:v>
      </x:c>
      <x:c r="D180" s="20" t="n">
        <x:v>15.989745045182257</x:v>
      </x:c>
      <x:c r="E180" s="20" t="n">
        <x:v>7.067105695945419</x:v>
      </x:c>
      <x:c r="F180" s="20" t="n">
        <x:v>1.2301988807880349</x:v>
      </x:c>
      <x:c r="G180" s="20" t="n">
        <x:f>E180-F180</x:f>
        <x:v>5.836906815157384</x:v>
      </x:c>
      <x:c r="H180" s="21" t="n">
        <x:f>E180/F180-1</x:f>
        <x:v>4.744685518993813</x:v>
      </x:c>
      <x:c r="I180" s="21" t="n">
        <x:v>1.1160459078727487</x:v>
      </x:c>
      <x:c r="J180" s="4" t="str">
        <x:v>是</x:v>
      </x:c>
      <x:c r="K180" s="4" t="str">
        <x:v>局部重放接受记录</x:v>
      </x:c>
    </x:row>
    <x:row r="181" ht="25" customHeight="1">
      <x:c r="A181" s="4" t="str">
        <x:v>04-Rfail</x:v>
      </x:c>
      <x:c r="B181" s="4" t="str">
        <x:v>diverse_04</x:v>
      </x:c>
      <x:c r="C181" s="4" t="str">
        <x:v>04-S4</x:v>
      </x:c>
      <x:c r="D181" s="20" t="n">
        <x:v>15.991701115494728</x:v>
      </x:c>
      <x:c r="E181" s="20" t="n">
        <x:v>7.066787449229076</x:v>
      </x:c>
      <x:c r="F181" s="20" t="n">
        <x:v>1.220738976991128</x:v>
      </x:c>
      <x:c r="G181" s="20" t="n">
        <x:f>E181-F181</x:f>
        <x:v>5.846048472237948</x:v>
      </x:c>
      <x:c r="H181" s="21" t="n">
        <x:f>E181/F181-1</x:f>
        <x:v>4.788942257457251</x:v>
      </x:c>
      <x:c r="I181" s="21" t="n">
        <x:v>1.117793838634543</x:v>
      </x:c>
      <x:c r="J181" s="4" t="str">
        <x:v>是</x:v>
      </x:c>
      <x:c r="K181" s="4" t="str">
        <x:v>局部重放接受记录</x:v>
      </x:c>
    </x:row>
    <x:row r="182" ht="25" customHeight="1">
      <x:c r="A182" s="4" t="str">
        <x:v>04-Rfail</x:v>
      </x:c>
      <x:c r="B182" s="4" t="str">
        <x:v>diverse_04</x:v>
      </x:c>
      <x:c r="C182" s="4" t="str">
        <x:v>04-S4</x:v>
      </x:c>
      <x:c r="D182" s="20" t="n">
        <x:v>15.993656771356186</x:v>
      </x:c>
      <x:c r="E182" s="20" t="n">
        <x:v>7.066458267674804</x:v>
      </x:c>
      <x:c r="F182" s="20" t="n">
        <x:v>1.2112810775530016</x:v>
      </x:c>
      <x:c r="G182" s="20" t="n">
        <x:f>E182-F182</x:f>
        <x:v>5.855177190121802</x:v>
      </x:c>
      <x:c r="H182" s="21" t="n">
        <x:f>E182/F182-1</x:f>
        <x:v>4.833871591513902</x:v>
      </x:c>
      <x:c r="I182" s="21" t="n">
        <x:v>1.1195392953569192</x:v>
      </x:c>
      <x:c r="J182" s="4" t="str">
        <x:v>是</x:v>
      </x:c>
      <x:c r="K182" s="4" t="str">
        <x:v>局部重放接受记录</x:v>
      </x:c>
    </x:row>
    <x:row r="183" ht="25" customHeight="1">
      <x:c r="A183" s="4" t="str">
        <x:v>04-Rfail</x:v>
      </x:c>
      <x:c r="B183" s="4" t="str">
        <x:v>diverse_04</x:v>
      </x:c>
      <x:c r="C183" s="4" t="str">
        <x:v>04-S4</x:v>
      </x:c>
      <x:c r="D183" s="20" t="n">
        <x:v>15.995612012649355</x:v>
      </x:c>
      <x:c r="E183" s="20" t="n">
        <x:v>7.066117525250429</x:v>
      </x:c>
      <x:c r="F183" s="20" t="n">
        <x:v>1.2093542884419453</x:v>
      </x:c>
      <x:c r="G183" s="20" t="n">
        <x:f>E183-F183</x:f>
        <x:v>5.856763236808484</x:v>
      </x:c>
      <x:c r="H183" s="21" t="n">
        <x:f>E183/F183-1</x:f>
        <x:v>4.842884581286732</x:v>
      </x:c>
      <x:c r="I183" s="21" t="n">
        <x:v>1.1198425554517641</x:v>
      </x:c>
      <x:c r="J183" s="4" t="str">
        <x:v>是</x:v>
      </x:c>
      <x:c r="K183" s="4" t="str">
        <x:v>局部重放接受记录</x:v>
      </x:c>
    </x:row>
    <x:row r="184" ht="25" customHeight="1">
      <x:c r="A184" s="4" t="str">
        <x:v>04-Rfail</x:v>
      </x:c>
      <x:c r="B184" s="4" t="str">
        <x:v>diverse_04</x:v>
      </x:c>
      <x:c r="C184" s="4" t="str">
        <x:v>04-S4</x:v>
      </x:c>
      <x:c r="D184" s="20" t="n">
        <x:v>15.997566839257038</x:v>
      </x:c>
      <x:c r="E184" s="20" t="n">
        <x:v>7.06576458673042</x:v>
      </x:c>
      <x:c r="F184" s="20" t="n">
        <x:v>1.2139481659952043</x:v>
      </x:c>
      <x:c r="G184" s="20" t="n">
        <x:f>E184-F184</x:f>
        <x:v>5.851816420735216</x:v>
      </x:c>
      <x:c r="H184" s="21" t="n">
        <x:f>E184/F184-1</x:f>
        <x:v>4.820482937125945</x:v>
      </x:c>
      <x:c r="I184" s="21" t="n">
        <x:v>1.1188966993655862</x:v>
      </x:c>
      <x:c r="J184" s="4" t="str">
        <x:v>是</x:v>
      </x:c>
      <x:c r="K184" s="4" t="str">
        <x:v>局部重放接受记录</x:v>
      </x:c>
    </x:row>
    <x:row r="185" ht="25" customHeight="1">
      <x:c r="A185" s="4" t="str">
        <x:v>04-Rfail</x:v>
      </x:c>
      <x:c r="B185" s="4" t="str">
        <x:v>diverse_04</x:v>
      </x:c>
      <x:c r="C185" s="4" t="str">
        <x:v>04-S4</x:v>
      </x:c>
      <x:c r="D185" s="20" t="n">
        <x:v>15.99952125106208</x:v>
      </x:c>
      <x:c r="E185" s="20" t="n">
        <x:v>7.065398827231234</x:v>
      </x:c>
      <x:c r="F185" s="20" t="n">
        <x:v>1.2185410687548222</x:v>
      </x:c>
      <x:c r="G185" s="20" t="n">
        <x:f>E185-F185</x:f>
        <x:v>5.846857758476411</x:v>
      </x:c>
      <x:c r="H185" s="21" t="n">
        <x:f>E185/F185-1</x:f>
        <x:v>4.798244317240025</x:v>
      </x:c>
      <x:c r="I185" s="21" t="n">
        <x:v>1.1179485782292182</x:v>
      </x:c>
      <x:c r="J185" s="4" t="str">
        <x:v>是</x:v>
      </x:c>
      <x:c r="K185" s="4" t="str">
        <x:v>局部重放接受记录</x:v>
      </x:c>
    </x:row>
    <x:row r="186" ht="25" customHeight="1">
      <x:c r="A186" s="4" t="str">
        <x:v>04-Rfail</x:v>
      </x:c>
      <x:c r="B186" s="4" t="str">
        <x:v>diverse_04</x:v>
      </x:c>
      <x:c r="C186" s="4" t="str">
        <x:v>04-S4</x:v>
      </x:c>
      <x:c r="D186" s="20" t="n">
        <x:v>16.001475247947365</x:v>
      </x:c>
      <x:c r="E186" s="20" t="n">
        <x:v>7.065019654085702</x:v>
      </x:c>
      <x:c r="F186" s="20" t="n">
        <x:v>1.2231329964455768</x:v>
      </x:c>
      <x:c r="G186" s="20" t="n">
        <x:f>E186-F186</x:f>
        <x:v>5.841886657640126</x:v>
      </x:c>
      <x:c r="H186" s="21" t="n">
        <x:f>E186/F186-1</x:f>
        <x:v>4.7761663487262975</x:v>
      </x:c>
      <x:c r="I186" s="21" t="n">
        <x:v>1.1169980787743439</x:v>
      </x:c>
      <x:c r="J186" s="4" t="str">
        <x:v>是</x:v>
      </x:c>
      <x:c r="K186" s="4" t="str">
        <x:v>局部重放接受记录</x:v>
      </x:c>
    </x:row>
    <x:row r="187" ht="25" customHeight="1">
      <x:c r="A187" s="4" t="str">
        <x:v>04-Rfail</x:v>
      </x:c>
      <x:c r="B187" s="4" t="str">
        <x:v>diverse_04</x:v>
      </x:c>
      <x:c r="C187" s="4" t="str">
        <x:v>04-S4</x:v>
      </x:c>
      <x:c r="D187" s="20" t="n">
        <x:v>16.00342882979586</x:v>
      </x:c>
      <x:c r="E187" s="20" t="n">
        <x:v>7.06462652965387</x:v>
      </x:c>
      <x:c r="F187" s="20" t="n">
        <x:v>1.227723948792443</x:v>
      </x:c>
      <x:c r="G187" s="20" t="n">
        <x:f>E187-F187</x:f>
        <x:v>5.836902580861427</x:v>
      </x:c>
      <x:c r="H187" s="21" t="n">
        <x:f>E187/F187-1</x:f>
        <x:v>4.754246739751595</x:v>
      </x:c>
      <x:c r="I187" s="21" t="n">
        <x:v>1.1160450982540886</x:v>
      </x:c>
      <x:c r="J187" s="4" t="str">
        <x:v>是</x:v>
      </x:c>
      <x:c r="K187" s="4" t="str">
        <x:v>局部重放接受记录</x:v>
      </x:c>
    </x:row>
    <x:row r="188" ht="25" customHeight="1">
      <x:c r="A188" s="4" t="str">
        <x:v>04-Rfail</x:v>
      </x:c>
      <x:c r="B188" s="4" t="str">
        <x:v>diverse_04</x:v>
      </x:c>
      <x:c r="C188" s="4" t="str">
        <x:v>04-S4</x:v>
      </x:c>
      <x:c r="D188" s="20" t="n">
        <x:v>16.00538199649053</x:v>
      </x:c>
      <x:c r="E188" s="20" t="n">
        <x:v>7.064218991077667</x:v>
      </x:c>
      <x:c r="F188" s="20" t="n">
        <x:v>1.2323139255203814</x:v>
      </x:c>
      <x:c r="G188" s="20" t="n">
        <x:f>E188-F188</x:f>
        <x:v>5.831905065557286</x:v>
      </x:c>
      <x:c r="H188" s="21" t="n">
        <x:f>E188/F188-1</x:f>
        <x:v>4.732483294055603</x:v>
      </x:c>
      <x:c r="I188" s="21" t="n">
        <x:v>1.115089548220253</x:v>
      </x:c>
      <x:c r="J188" s="4" t="str">
        <x:v>是</x:v>
      </x:c>
      <x:c r="K188" s="4" t="str">
        <x:v>局部重放接受记录</x:v>
      </x:c>
    </x:row>
    <x:row r="189" ht="25" customHeight="1">
      <x:c r="A189" s="4" t="str">
        <x:v>04-Rfail</x:v>
      </x:c>
      <x:c r="B189" s="4" t="str">
        <x:v>diverse_04</x:v>
      </x:c>
      <x:c r="C189" s="4" t="str">
        <x:v>04-S4</x:v>
      </x:c>
      <x:c r="D189" s="20" t="n">
        <x:v>16.007334747914463</x:v>
      </x:c>
      <x:c r="E189" s="20" t="n">
        <x:v>7.063796662169544</x:v>
      </x:c>
      <x:c r="F189" s="20" t="n">
        <x:v>1.2369029263546403</x:v>
      </x:c>
      <x:c r="G189" s="20" t="n">
        <x:f>E189-F189</x:f>
        <x:v>5.826893735814904</x:v>
      </x:c>
      <x:c r="H189" s="21" t="n">
        <x:f>E189/F189-1</x:f>
        <x:v>4.710873918770436</x:v>
      </x:c>
      <x:c r="I189" s="21" t="n">
        <x:v>1.1141313567964217</x:v>
      </x:c>
      <x:c r="J189" s="4" t="str">
        <x:v>是</x:v>
      </x:c>
      <x:c r="K189" s="4" t="str">
        <x:v>局部重放接受记录</x:v>
      </x:c>
    </x:row>
    <x:row r="190" ht="25" customHeight="1">
      <x:c r="A190" s="4" t="str">
        <x:v>04-Rfail</x:v>
      </x:c>
      <x:c r="B190" s="4" t="str">
        <x:v>diverse_04</x:v>
      </x:c>
      <x:c r="C190" s="4" t="str">
        <x:v>04-S4</x:v>
      </x:c>
      <x:c r="D190" s="20" t="n">
        <x:v>16.00928708395072</x:v>
      </x:c>
      <x:c r="E190" s="20" t="n">
        <x:v>7.063359254812855</x:v>
      </x:c>
      <x:c r="F190" s="20" t="n">
        <x:v>1.2414909510204284</x:v>
      </x:c>
      <x:c r="G190" s="20" t="n">
        <x:f>E190-F190</x:f>
        <x:v>5.821868303792427</x:v>
      </x:c>
      <x:c r="H190" s="21" t="n">
        <x:f>E190/F190-1</x:f>
        <x:v>4.68941662362276</x:v>
      </x:c>
      <x:c r="I190" s="21" t="n">
        <x:v>1.113170468945786</x:v>
      </x:c>
      <x:c r="J190" s="4" t="str">
        <x:v>是</x:v>
      </x:c>
      <x:c r="K190" s="4" t="str">
        <x:v>局部重放接受记录</x:v>
      </x:c>
    </x:row>
    <x:row r="191" ht="25" customHeight="1">
      <x:c r="A191" s="4" t="str">
        <x:v>04-Rfail</x:v>
      </x:c>
      <x:c r="B191" s="4" t="str">
        <x:v>diverse_04</x:v>
      </x:c>
      <x:c r="C191" s="4" t="str">
        <x:v>04-S4</x:v>
      </x:c>
      <x:c r="D191" s="20" t="n">
        <x:v>16.011239004482476</x:v>
      </x:c>
      <x:c r="E191" s="20" t="n">
        <x:v>7.0629065613490125</x:v>
      </x:c>
      <x:c r="F191" s="20" t="n">
        <x:v>1.2460779992431898</x:v>
      </x:c>
      <x:c r="G191" s="20" t="n">
        <x:f>E191-F191</x:f>
        <x:v>5.816828562105822</x:v>
      </x:c>
      <x:c r="H191" s="21" t="n">
        <x:f>E191/F191-1</x:f>
        <x:v>4.66810951291869</x:v>
      </x:c>
      <x:c r="I191" s="21" t="n">
        <x:v>1.1122068450154767</x:v>
      </x:c>
      <x:c r="J191" s="4" t="str">
        <x:v>是</x:v>
      </x:c>
      <x:c r="K191" s="4" t="str">
        <x:v>局部重放接受记录</x:v>
      </x:c>
    </x:row>
    <x:row r="192" ht="25" customHeight="1">
      <x:c r="A192" s="4" t="str">
        <x:v>04-Rfail</x:v>
      </x:c>
      <x:c r="B192" s="4" t="str">
        <x:v>diverse_04</x:v>
      </x:c>
      <x:c r="C192" s="4" t="str">
        <x:v>04-S4</x:v>
      </x:c>
      <x:c r="D192" s="20" t="n">
        <x:v>16.013190509392917</x:v>
      </x:c>
      <x:c r="E192" s="20" t="n">
        <x:v>7.062438442677832</x:v>
      </x:c>
      <x:c r="F192" s="20" t="n">
        <x:v>1.2506640707484074</x:v>
      </x:c>
      <x:c r="G192" s="20" t="n">
        <x:f>E192-F192</x:f>
        <x:v>5.811774371929425</x:v>
      </x:c>
      <x:c r="H192" s="21" t="n">
        <x:f>E192/F192-1</x:f>
        <x:v>4.646950774280749</x:v>
      </x:c>
      <x:c r="I192" s="21" t="n">
        <x:v>1.1112404584613294</x:v>
      </x:c>
      <x:c r="J192" s="4" t="str">
        <x:v>是</x:v>
      </x:c>
      <x:c r="K192" s="4" t="str">
        <x:v>局部重放接受记录</x:v>
      </x:c>
    </x:row>
    <x:row r="193" ht="25" customHeight="1">
      <x:c r="A193" s="4" t="str">
        <x:v>04-Rfail</x:v>
      </x:c>
      <x:c r="B193" s="4" t="str">
        <x:v>diverse_04</x:v>
      </x:c>
      <x:c r="C193" s="4" t="str">
        <x:v>04-S4</x:v>
      </x:c>
      <x:c r="D193" s="20" t="n">
        <x:v>16.01514159856533</x:v>
      </x:c>
      <x:c r="E193" s="20" t="n">
        <x:v>7.061954816909608</x:v>
      </x:c>
      <x:c r="F193" s="20" t="n">
        <x:v>1.2552491652618116</x:v>
      </x:c>
      <x:c r="G193" s="20" t="n">
        <x:f>E193-F193</x:f>
        <x:v>5.806705651647796</x:v>
      </x:c>
      <x:c r="H193" s="21" t="n">
        <x:f>E193/F193-1</x:f>
        <x:v>4.6259386680704715</x:v>
      </x:c>
      <x:c r="I193" s="21" t="n">
        <x:v>1.110271293678062</x:v>
      </x:c>
      <x:c r="J193" s="4" t="str">
        <x:v>是</x:v>
      </x:c>
      <x:c r="K193" s="4" t="str">
        <x:v>局部重放接受记录</x:v>
      </x:c>
    </x:row>
    <x:row r="194" ht="25" customHeight="1">
      <x:c r="A194" s="4" t="str">
        <x:v>04-Rfail</x:v>
      </x:c>
      <x:c r="B194" s="4" t="str">
        <x:v>diverse_04</x:v>
      </x:c>
      <x:c r="C194" s="4" t="str">
        <x:v>04-S4</x:v>
      </x:c>
      <x:c r="D194" s="20" t="n">
        <x:v>16.017092271882973</x:v>
      </x:c>
      <x:c r="E194" s="20" t="n">
        <x:v>7.061455650382026</x:v>
      </x:c>
      <x:c r="F194" s="20" t="n">
        <x:v>1.259833282509062</x:v>
      </x:c>
      <x:c r="G194" s="20" t="n">
        <x:f>E194-F194</x:f>
        <x:v>5.801622367872964</x:v>
      </x:c>
      <x:c r="H194" s="21" t="n">
        <x:f>E194/F194-1</x:f>
        <x:v>4.605071518922372</x:v>
      </x:c>
      <x:c r="I194" s="21" t="n">
        <x:v>1.109299344281727</x:v>
      </x:c>
      <x:c r="J194" s="4" t="str">
        <x:v>是</x:v>
      </x:c>
      <x:c r="K194" s="4" t="str">
        <x:v>局部重放接受记录</x:v>
      </x:c>
    </x:row>
    <x:row r="195" ht="25" customHeight="1">
      <x:c r="A195" s="4" t="str">
        <x:v>04-Rfail</x:v>
      </x:c>
      <x:c r="B195" s="4" t="str">
        <x:v>diverse_04</x:v>
      </x:c>
      <x:c r="C195" s="4" t="str">
        <x:v>04-S4</x:v>
      </x:c>
      <x:c r="D195" s="20" t="n">
        <x:v>16.019042529229228</x:v>
      </x:c>
      <x:c r="E195" s="20" t="n">
        <x:v>7.060940949169095</x:v>
      </x:c>
      <x:c r="F195" s="20" t="n">
        <x:v>1.2644164222161038</x:v>
      </x:c>
      <x:c r="G195" s="20" t="n">
        <x:f>E195-F195</x:f>
        <x:v>5.796524526952991</x:v>
      </x:c>
      <x:c r="H195" s="21" t="n">
        <x:f>E195/F195-1</x:f>
        <x:v>4.58434770784897</x:v>
      </x:c>
      <x:c r="I195" s="21" t="n">
        <x:v>1.1083246114861052</x:v>
      </x:c>
      <x:c r="J195" s="4" t="str">
        <x:v>是</x:v>
      </x:c>
      <x:c r="K195" s="4" t="str">
        <x:v>局部重放接受记录</x:v>
      </x:c>
    </x:row>
    <x:row r="196" ht="25" customHeight="1">
      <x:c r="A196" s="4" t="str">
        <x:v>04-Rfail</x:v>
      </x:c>
      <x:c r="B196" s="4" t="str">
        <x:v>diverse_04</x:v>
      </x:c>
      <x:c r="C196" s="4" t="str">
        <x:v>04-S4</x:v>
      </x:c>
      <x:c r="D196" s="20" t="n">
        <x:v>16.020992370487512</x:v>
      </x:c>
      <x:c r="E196" s="20" t="n">
        <x:v>7.0604107479765945</x:v>
      </x:c>
      <x:c r="F196" s="20" t="n">
        <x:v>1.2689985841089426</x:v>
      </x:c>
      <x:c r="G196" s="20" t="n">
        <x:f>E196-F196</x:f>
        <x:v>5.791412163867652</x:v>
      </x:c>
      <x:c r="H196" s="21" t="n">
        <x:f>E196/F196-1</x:f>
        <x:v>4.56376566246071</x:v>
      </x:c>
      <x:c r="I196" s="21" t="n">
        <x:v>1.1073471019795054</x:v>
      </x:c>
      <x:c r="J196" s="4" t="str">
        <x:v>是</x:v>
      </x:c>
      <x:c r="K196" s="4" t="str">
        <x:v>局部重放接受记录</x:v>
      </x:c>
    </x:row>
    <x:row r="197" ht="25" customHeight="1">
      <x:c r="A197" s="4" t="str">
        <x:v>04-Rfail</x:v>
      </x:c>
      <x:c r="B197" s="4" t="str">
        <x:v>diverse_04</x:v>
      </x:c>
      <x:c r="C197" s="4" t="str">
        <x:v>04-S4</x:v>
      </x:c>
      <x:c r="D197" s="20" t="n">
        <x:v>16.022941795541275</x:v>
      </x:c>
      <x:c r="E197" s="20" t="n">
        <x:v>7.059865095846049</x:v>
      </x:c>
      <x:c r="F197" s="20" t="n">
        <x:v>1.2735797679137066</x:v>
      </x:c>
      <x:c r="G197" s="20" t="n">
        <x:f>E197-F197</x:f>
        <x:v>5.786285327932342</x:v>
      </x:c>
      <x:c r="H197" s="21" t="n">
        <x:f>E197/F197-1</x:f>
        <x:v>4.543323844890414</x:v>
      </x:c>
      <x:c r="I197" s="21" t="n">
        <x:v>1.1063668251912793</x:v>
      </x:c>
      <x:c r="J197" s="4" t="str">
        <x:v>是</x:v>
      </x:c>
      <x:c r="K197" s="4" t="str">
        <x:v>局部重放接受记录</x:v>
      </x:c>
    </x:row>
    <x:row r="198" ht="25" customHeight="1">
      <x:c r="A198" s="4" t="str">
        <x:v>04-Rdt</x:v>
      </x:c>
      <x:c r="B198" s="4" t="str">
        <x:v>diverse_04</x:v>
      </x:c>
      <x:c r="C198" s="4" t="str">
        <x:v>04-S4</x:v>
      </x:c>
      <x:c r="D198" s="20" t="n">
        <x:v>15.966239917005407</x:v>
      </x:c>
      <x:c r="E198" s="20" t="n">
        <x:v>7.070239787769439</x:v>
      </x:c>
      <x:c r="F198" s="20" t="n">
        <x:v>1.343873859580698</x:v>
      </x:c>
      <x:c r="G198" s="20" t="n">
        <x:f>E198-F198</x:f>
        <x:v>5.726365928188741</x:v>
      </x:c>
      <x:c r="H198" s="21" t="n">
        <x:f>E198/F198-1</x:f>
        <x:v>4.26108885693738</x:v>
      </x:c>
      <x:c r="I198" s="21" t="n">
        <x:v>1.0949099349232387</x:v>
      </x:c>
      <x:c r="J198" s="4" t="str">
        <x:v>是</x:v>
      </x:c>
      <x:c r="K198" s="4" t="str">
        <x:v>局部重放接受记录</x:v>
      </x:c>
    </x:row>
    <x:row r="199" ht="25" customHeight="1">
      <x:c r="A199" s="4" t="str">
        <x:v>04-Rdt</x:v>
      </x:c>
      <x:c r="B199" s="4" t="str">
        <x:v>diverse_04</x:v>
      </x:c>
      <x:c r="C199" s="4" t="str">
        <x:v>04-S4</x:v>
      </x:c>
      <x:c r="D199" s="20" t="n">
        <x:v>15.997566839257091</x:v>
      </x:c>
      <x:c r="E199" s="20" t="n">
        <x:v>7.065763862932506</x:v>
      </x:c>
      <x:c r="F199" s="20" t="n">
        <x:v>1.2139481659953282</x:v>
      </x:c>
      <x:c r="G199" s="20" t="n">
        <x:f>E199-F199</x:f>
        <x:v>5.851815696937178</x:v>
      </x:c>
      <x:c r="H199" s="21" t="n">
        <x:f>E199/F199-1</x:f>
        <x:v>4.820482340890738</x:v>
      </x:c>
      <x:c r="I199" s="21" t="n">
        <x:v>1.1188965609717652</x:v>
      </x:c>
      <x:c r="J199" s="4" t="str">
        <x:v>是</x:v>
      </x:c>
      <x:c r="K199" s="4" t="str">
        <x:v>局部重放接受记录</x:v>
      </x:c>
    </x:row>
    <x:row r="200" ht="25" customHeight="1">
      <x:c r="A200" s="4" t="str">
        <x:v>04-Rdt</x:v>
      </x:c>
      <x:c r="B200" s="4" t="str">
        <x:v>diverse_04</x:v>
      </x:c>
      <x:c r="C200" s="4" t="str">
        <x:v>04-S4</x:v>
      </x:c>
      <x:c r="D200" s="20" t="n">
        <x:v>16.028787572310904</x:v>
      </x:c>
      <x:c r="E200" s="20" t="n">
        <x:v>7.058135184790062</x:v>
      </x:c>
      <x:c r="F200" s="20" t="n">
        <x:v>1.2919176703039985</x:v>
      </x:c>
      <x:c r="G200" s="20" t="n">
        <x:f>E200-F200</x:f>
        <x:v>5.766217514486064</x:v>
      </x:c>
      <x:c r="H200" s="21" t="n">
        <x:f>E200/F200-1</x:f>
        <x:v>4.463301065561884</x:v>
      </x:c>
      <x:c r="I200" s="21" t="n">
        <x:v>1.1025297584389864</x:v>
      </x:c>
      <x:c r="J200" s="4" t="str">
        <x:v>是</x:v>
      </x:c>
      <x:c r="K200" s="4" t="str">
        <x:v>局部重放接受记录</x:v>
      </x:c>
    </x:row>
    <x:row r="201" ht="25" customHeight="1">
      <x:c r="A201" s="4" t="str">
        <x:v>04-Rdt</x:v>
      </x:c>
      <x:c r="B201" s="4" t="str">
        <x:v>diverse_04</x:v>
      </x:c>
      <x:c r="C201" s="4" t="str">
        <x:v>04-S4</x:v>
      </x:c>
      <x:c r="D201" s="20" t="n">
        <x:v>16.05990163808317</x:v>
      </x:c>
      <x:c r="E201" s="20" t="n">
        <x:v>7.046613048603156</x:v>
      </x:c>
      <x:c r="F201" s="20" t="n">
        <x:v>1.514642196825947</x:v>
      </x:c>
      <x:c r="G201" s="20" t="n">
        <x:f>E201-F201</x:f>
        <x:v>5.531970851777209</x:v>
      </x:c>
      <x:c r="H201" s="21" t="n">
        <x:f>E201/F201-1</x:f>
        <x:v>3.652328492742308</x:v>
      </x:c>
      <x:c r="I201" s="21" t="n">
        <x:v>1.0577406196660015</x:v>
      </x:c>
      <x:c r="J201" s="4" t="str">
        <x:v>是</x:v>
      </x:c>
      <x:c r="K201" s="4" t="str">
        <x:v>局部重放接受记录</x:v>
      </x:c>
    </x:row>
    <x:row r="202" ht="25" customHeight="1">
      <x:c r="A202" s="4" t="str">
        <x:v>04-Rdt</x:v>
      </x:c>
      <x:c r="B202" s="4" t="str">
        <x:v>diverse_04</x:v>
      </x:c>
      <x:c r="C202" s="4" t="str">
        <x:v>04-S4</x:v>
      </x:c>
      <x:c r="D202" s="20" t="n">
        <x:v>16.090908561872872</x:v>
      </x:c>
      <x:c r="E202" s="20" t="n">
        <x:v>7.030490955393326</x:v>
      </x:c>
      <x:c r="F202" s="20" t="n">
        <x:v>1.729865955840578</x:v>
      </x:c>
      <x:c r="G202" s="20" t="n">
        <x:f>E202-F202</x:f>
        <x:v>5.300624999552747</x:v>
      </x:c>
      <x:c r="H202" s="21" t="n">
        <x:f>E202/F202-1</x:f>
        <x:v>3.06418250596594</x:v>
      </x:c>
      <x:c r="I202" s="21" t="n">
        <x:v>1.0135061304314013</x:v>
      </x:c>
      <x:c r="J202" s="4" t="str">
        <x:v>是</x:v>
      </x:c>
      <x:c r="K202" s="4" t="str">
        <x:v>局部重放接受记录</x:v>
      </x:c>
    </x:row>
    <x:row r="203" ht="25" customHeight="1">
      <x:c r="A203" s="4" t="str">
        <x:v>04-Rdt</x:v>
      </x:c>
      <x:c r="B203" s="4" t="str">
        <x:v>diverse_04</x:v>
      </x:c>
      <x:c r="C203" s="4" t="str">
        <x:v>04-S4</x:v>
      </x:c>
      <x:c r="D203" s="20" t="n">
        <x:v>16.121807872382586</x:v>
      </x:c>
      <x:c r="E203" s="20" t="n">
        <x:v>7.005077077530422</x:v>
      </x:c>
      <x:c r="F203" s="20" t="n">
        <x:v>1.7820975352677755</x:v>
      </x:c>
      <x:c r="G203" s="20" t="n">
        <x:f>E203-F203</x:f>
        <x:v>5.222979542262647</x:v>
      </x:c>
      <x:c r="H203" s="21" t="n">
        <x:f>E203/F203-1</x:f>
        <x:v>2.9308045372936613</x:v>
      </x:c>
      <x:c r="I203" s="21" t="n">
        <x:v>0.998659928904165</x:v>
      </x:c>
      <x:c r="J203" s="4" t="str">
        <x:v>是</x:v>
      </x:c>
      <x:c r="K203" s="4" t="str">
        <x:v>局部重放接受记录</x:v>
      </x:c>
    </x:row>
    <x:row r="204" ht="25" customHeight="1">
      <x:c r="A204" s="4" t="str">
        <x:v>04-Rdt</x:v>
      </x:c>
      <x:c r="B204" s="4" t="str">
        <x:v>diverse_04</x:v>
      </x:c>
      <x:c r="C204" s="4" t="str">
        <x:v>04-S4</x:v>
      </x:c>
      <x:c r="D204" s="20" t="n">
        <x:v>16.152599101739323</x:v>
      </x:c>
      <x:c r="E204" s="20" t="n">
        <x:v>6.964856509573206</x:v>
      </x:c>
      <x:c r="F204" s="20" t="n">
        <x:v>1.9430226832897557</x:v>
      </x:c>
      <x:c r="G204" s="20" t="n">
        <x:f>E204-F204</x:f>
        <x:v>5.0218338262834505</x:v>
      </x:c>
      <x:c r="H204" s="21" t="n">
        <x:f>E204/F204-1</x:f>
        <x:v>2.584547195188129</x:v>
      </x:c>
      <x:c r="I204" s="21" t="n">
        <x:v>0.960199857446152</x:v>
      </x:c>
      <x:c r="J204" s="4" t="str">
        <x:v>是</x:v>
      </x:c>
      <x:c r="K204" s="4" t="str">
        <x:v>局部重放接受记录</x:v>
      </x:c>
    </x:row>
    <x:row r="205" ht="25" customHeight="1">
      <x:c r="A205" s="4" t="str">
        <x:v>04-Rdt</x:v>
      </x:c>
      <x:c r="B205" s="4" t="str">
        <x:v>diverse_04</x:v>
      </x:c>
      <x:c r="C205" s="4" t="str">
        <x:v>04-S4</x:v>
      </x:c>
      <x:c r="D205" s="20" t="n">
        <x:v>16.183281785515437</x:v>
      </x:c>
      <x:c r="E205" s="20" t="n">
        <x:v>6.912147147347852</x:v>
      </x:c>
      <x:c r="F205" s="20" t="n">
        <x:v>2.1107070303284314</x:v>
      </x:c>
      <x:c r="G205" s="20" t="n">
        <x:f>E205-F205</x:f>
        <x:v>4.801440117019421</x:v>
      </x:c>
      <x:c r="H205" s="21" t="n">
        <x:f>E205/F205-1</x:f>
        <x:v>2.274801783491622</x:v>
      </x:c>
      <x:c r="I205" s="21" t="n">
        <x:v>0.9180594729695182</x:v>
      </x:c>
      <x:c r="J205" s="4" t="str">
        <x:v>是</x:v>
      </x:c>
      <x:c r="K205" s="4" t="str">
        <x:v>局部重放接受记录</x:v>
      </x:c>
    </x:row>
    <x:row r="206" ht="25" customHeight="1">
      <x:c r="A206" s="4" t="str">
        <x:v>04-Rdt</x:v>
      </x:c>
      <x:c r="B206" s="4" t="str">
        <x:v>diverse_04</x:v>
      </x:c>
      <x:c r="C206" s="4" t="str">
        <x:v>04-S4</x:v>
      </x:c>
      <x:c r="D206" s="20" t="n">
        <x:v>16.21385546274957</x:v>
      </x:c>
      <x:c r="E206" s="20" t="n">
        <x:v>6.852041748265384</x:v>
      </x:c>
      <x:c r="F206" s="20" t="n">
        <x:v>1.963212232817675</x:v>
      </x:c>
      <x:c r="G206" s="20" t="n">
        <x:f>E206-F206</x:f>
        <x:v>4.888829515447709</x:v>
      </x:c>
      <x:c r="H206" s="21" t="n">
        <x:f>E206/F206-1</x:f>
        <x:v>2.4902195665473617</x:v>
      </x:c>
      <x:c r="I206" s="21" t="n">
        <x:v>0.9347687649962613</x:v>
      </x:c>
      <x:c r="J206" s="4" t="str">
        <x:v>是</x:v>
      </x:c>
      <x:c r="K206" s="4" t="str">
        <x:v>局部重放接受记录</x:v>
      </x:c>
    </x:row>
  </x:sheetData>
  <x:pageMargins left="0.7" right="0.7" top="0.75" bottom="0.75" header="0.3" footer="0.3"/>
  <x:tableParts count="1">
    <x:tablePart xmlns:r="http://schemas.openxmlformats.org/officeDocument/2006/relationships" r:id="R7119cb79f128472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0" hidden="0" customWidth="1"/>
    <x:col min="5" max="5" width="10" hidden="0" customWidth="1"/>
    <x:col min="6" max="6" width="22" hidden="0" customWidth="1"/>
    <x:col min="7" max="7" width="21" hidden="0" customWidth="1"/>
    <x:col min="8" max="8" width="24" hidden="0" customWidth="1"/>
    <x:col min="9" max="9" width="24" hidden="0" customWidth="1"/>
    <x:col min="10" max="10" width="24" hidden="0" customWidth="1"/>
    <x:col min="11" max="11" width="30" hidden="0" customWidth="1"/>
    <x:col min="12" max="12" width="75" hidden="0" customWidth="1"/>
    <x:col min="13" max="13" width="35" hidden="0" customWidth="1"/>
  </x:cols>
  <x:sheetData>
    <x:row r="2">
      <x:c r="A2" s="1" t="str">
        <x:v>观察峰和已完成保载的对照</x:v>
      </x:c>
    </x:row>
    <x:row r="6" ht="40" customHeight="1">
      <x:c r="A6" s="8" t="str">
        <x:v>曲线ID</x:v>
      </x:c>
      <x:c r="B6" s="8" t="str">
        <x:v>构型</x:v>
      </x:c>
      <x:c r="C6" s="8" t="str">
        <x:v>参考ID</x:v>
      </x:c>
      <x:c r="D6" s="8" t="str">
        <x:v>同T</x:v>
      </x:c>
      <x:c r="E6" s="8" t="str">
        <x:v>同厚度</x:v>
      </x:c>
      <x:c r="F6" s="8" t="str">
        <x:v>两者均观察内部峰</x:v>
      </x:c>
      <x:c r="G6" s="8" t="str">
        <x:v>峰位差 (百分点)</x:v>
      </x:c>
      <x:c r="H6" s="8" t="str">
        <x:v>峰力相对差 (%)</x:v>
      </x:c>
      <x:c r="I6" s="8" t="str">
        <x:v>本保载均力 (N)</x:v>
      </x:c>
      <x:c r="J6" s="8" t="str">
        <x:v>参考保载均力 (N)</x:v>
      </x:c>
      <x:c r="K6" s="8" t="str">
        <x:v>保载均力相对差 (%)</x:v>
      </x:c>
      <x:c r="L6" s="8" t="str">
        <x:v>保载比较范围</x:v>
      </x:c>
      <x:c r="M6" s="8" t="str">
        <x:v>本覆盖状态</x:v>
      </x:c>
    </x:row>
    <x:row r="7" ht="25" customHeight="1">
      <x:c r="A7" s="4" t="str">
        <x:v>04-B32</x:v>
      </x:c>
      <x:c r="B7" s="4" t="str">
        <x:v>diverse_04</x:v>
      </x:c>
      <x:c r="C7" s="4" t="str">
        <x:v>04-S4</x:v>
      </x:c>
      <x:c r="D7" s="4" t="str">
        <x:v>是</x:v>
      </x:c>
      <x:c r="E7" s="4" t="str">
        <x:v>是</x:v>
      </x:c>
      <x:c r="F7" s="4" t="str">
        <x:v>是</x:v>
      </x:c>
      <x:c r="G7" s="10" t="n">
        <x:v>3.414631428551883</x:v>
      </x:c>
      <x:c r="H7" s="21" t="n">
        <x:v>0.25504485627543727</x:v>
      </x:c>
      <x:c r="I7" s="20" t="n">
        <x:v>1.9515671308843021</x:v>
      </x:c>
      <x:c r="J7" s="20" t="n">
        <x:v>1.3196162033255356</x:v>
      </x:c>
      <x:c r="K7" s="21" t="n">
        <x:f>I7/J7-1</x:f>
        <x:v>0.4788899423682438</x:v>
      </x:c>
      <x:c r="L7" s="4" t="str">
        <x:v>匹配T各自保载时窗；仅原记录覆盖</x:v>
      </x:c>
      <x:c r="M7" s="4" t="str">
        <x:v>完整20%+保载</x:v>
      </x:c>
    </x:row>
    <x:row r="8" ht="25" customHeight="1">
      <x:c r="A8" s="4" t="str">
        <x:v>04-B64</x:v>
      </x:c>
      <x:c r="B8" s="4" t="str">
        <x:v>diverse_04</x:v>
      </x:c>
      <x:c r="C8" s="4" t="str">
        <x:v>04-S1</x:v>
      </x:c>
      <x:c r="D8" s="4" t="str">
        <x:v>是</x:v>
      </x:c>
      <x:c r="E8" s="4" t="str">
        <x:v>是</x:v>
      </x:c>
      <x:c r="F8" s="4" t="str">
        <x:v>否</x:v>
      </x:c>
      <x:c r="G8" s="10" t="str">
        <x:v>n.a.</x:v>
      </x:c>
      <x:c r="H8" s="21" t="str">
        <x:v>n.a.</x:v>
      </x:c>
      <x:c r="I8" s="20" t="str">
        <x:v>n.a.</x:v>
      </x:c>
      <x:c r="J8" s="20" t="n">
        <x:v>1.5200284496988141</x:v>
      </x:c>
      <x:c r="K8" s="21" t="str">
        <x:v>n.a.</x:v>
      </x:c>
      <x:c r="L8" s="4" t="str">
        <x:v>匹配T各自保载时窗；仅原记录覆盖</x:v>
      </x:c>
      <x:c r="M8" s="4" t="str">
        <x:v>预算停止</x:v>
      </x:c>
    </x:row>
    <x:row r="9" ht="25" customHeight="1">
      <x:c r="A9" s="4" t="str">
        <x:v>28-Q64</x:v>
      </x:c>
      <x:c r="B9" s="4" t="str">
        <x:v>diverse_28</x:v>
      </x:c>
      <x:c r="C9" s="4" t="str">
        <x:v>28-S40</x:v>
      </x:c>
      <x:c r="D9" s="4" t="str">
        <x:v>否</x:v>
      </x:c>
      <x:c r="E9" s="4" t="str">
        <x:v>是</x:v>
      </x:c>
      <x:c r="F9" s="4" t="str">
        <x:v>是</x:v>
      </x:c>
      <x:c r="G9" s="10" t="n">
        <x:v>0.08629196058571181</x:v>
      </x:c>
      <x:c r="H9" s="21" t="n">
        <x:v>0.09495129351928133</x:v>
      </x:c>
      <x:c r="I9" s="20" t="n">
        <x:v>2.075023270781206</x:v>
      </x:c>
      <x:c r="J9" s="20" t="n">
        <x:v>1.8314456788421052</x:v>
      </x:c>
      <x:c r="K9" s="21" t="n">
        <x:f>I9/J9-1</x:f>
        <x:v>0.13299744281419157</x:v>
      </x:c>
      <x:c r="L9" s="4" t="str">
        <x:v>各自实际保载时窗；T不同，不是同物理时窗</x:v>
      </x:c>
      <x:c r="M9" s="4" t="str">
        <x:v>完整20%+保载</x:v>
      </x:c>
    </x:row>
    <x:row r="10" ht="25" customHeight="1">
      <x:c r="A10" s="4" t="str">
        <x:v>28-H8</x:v>
      </x:c>
      <x:c r="B10" s="4" t="str">
        <x:v>diverse_28</x:v>
      </x:c>
      <x:c r="C10" s="4" t="str">
        <x:v>28-S40</x:v>
      </x:c>
      <x:c r="D10" s="4" t="str">
        <x:v>否</x:v>
      </x:c>
      <x:c r="E10" s="4" t="str">
        <x:v>是</x:v>
      </x:c>
      <x:c r="F10" s="4" t="str">
        <x:v>是</x:v>
      </x:c>
      <x:c r="G10" s="10" t="n">
        <x:v>0.7291323951513871</x:v>
      </x:c>
      <x:c r="H10" s="21" t="n">
        <x:v>0.15763815351516364</x:v>
      </x:c>
      <x:c r="I10" s="20" t="n">
        <x:v>2.2434357340946502</x:v>
      </x:c>
      <x:c r="J10" s="20" t="n">
        <x:v>1.8314456788421052</x:v>
      </x:c>
      <x:c r="K10" s="21" t="n">
        <x:f>I10/J10-1</x:f>
        <x:v>0.22495346709546826</x:v>
      </x:c>
      <x:c r="L10" s="4" t="str">
        <x:v>各自实际保载时窗；T不同，不是同物理时窗</x:v>
      </x:c>
      <x:c r="M10" s="4" t="str">
        <x:v>完整20%+保载</x:v>
      </x:c>
    </x:row>
    <x:row r="11" ht="25" customHeight="1">
      <x:c r="A11" s="4" t="str">
        <x:v>28-Dminus</x:v>
      </x:c>
      <x:c r="B11" s="4" t="str">
        <x:v>diverse_28</x:v>
      </x:c>
      <x:c r="C11" s="4" t="str">
        <x:v>28-S40</x:v>
      </x:c>
      <x:c r="D11" s="4" t="str">
        <x:v>否</x:v>
      </x:c>
      <x:c r="E11" s="4" t="str">
        <x:v>否</x:v>
      </x:c>
      <x:c r="F11" s="4" t="str">
        <x:v>是</x:v>
      </x:c>
      <x:c r="G11" s="10" t="n">
        <x:v>-0.2364613984556646</x:v>
      </x:c>
      <x:c r="H11" s="21" t="n">
        <x:v>0.053757347042971304</x:v>
      </x:c>
      <x:c r="I11" s="20" t="n">
        <x:v>1.9778867136989904</x:v>
      </x:c>
      <x:c r="J11" s="20" t="n">
        <x:v>1.8314456788421052</x:v>
      </x:c>
      <x:c r="K11" s="21" t="n">
        <x:f>I11/J11-1</x:f>
        <x:v>0.07995925653086777</x:v>
      </x:c>
      <x:c r="L11" s="4" t="str">
        <x:v>各自实际保载时窗；T不同，不是同物理时窗</x:v>
      </x:c>
      <x:c r="M11" s="4" t="str">
        <x:v>完整20%+保载</x:v>
      </x:c>
    </x:row>
    <x:row r="12" ht="25" customHeight="1">
      <x:c r="A12" s="4" t="str">
        <x:v>28-Dplus</x:v>
      </x:c>
      <x:c r="B12" s="4" t="str">
        <x:v>diverse_28</x:v>
      </x:c>
      <x:c r="C12" s="4" t="str">
        <x:v>28-S40</x:v>
      </x:c>
      <x:c r="D12" s="4" t="str">
        <x:v>否</x:v>
      </x:c>
      <x:c r="E12" s="4" t="str">
        <x:v>否</x:v>
      </x:c>
      <x:c r="F12" s="4" t="str">
        <x:v>是</x:v>
      </x:c>
      <x:c r="G12" s="10" t="n">
        <x:v>0.08629196058571181</x:v>
      </x:c>
      <x:c r="H12" s="21" t="n">
        <x:v>0.07801379991170898</x:v>
      </x:c>
      <x:c r="I12" s="20" t="n">
        <x:v>2.031940240269993</x:v>
      </x:c>
      <x:c r="J12" s="20" t="n">
        <x:v>1.8314456788421052</x:v>
      </x:c>
      <x:c r="K12" s="21" t="n">
        <x:f>I12/J12-1</x:f>
        <x:v>0.10947338692275399</x:v>
      </x:c>
      <x:c r="L12" s="4" t="str">
        <x:v>各自实际保载时窗；T不同，不是同物理时窗</x:v>
      </x:c>
      <x:c r="M12" s="4" t="str">
        <x:v>完整20%+保载</x:v>
      </x:c>
    </x:row>
    <x:row r="13" ht="25" customHeight="1">
      <x:c r="A13" s="4" t="str">
        <x:v>28-NH4</x:v>
      </x:c>
      <x:c r="B13" s="4" t="str">
        <x:v>diverse_28</x:v>
      </x:c>
      <x:c r="C13" s="4" t="str">
        <x:v>28-S40</x:v>
      </x:c>
      <x:c r="D13" s="4" t="str">
        <x:v>否</x:v>
      </x:c>
      <x:c r="E13" s="4" t="str">
        <x:v>是</x:v>
      </x:c>
      <x:c r="F13" s="4" t="str">
        <x:v>是</x:v>
      </x:c>
      <x:c r="G13" s="10" t="n">
        <x:v>-0.2364613984556646</x:v>
      </x:c>
      <x:c r="H13" s="21" t="n">
        <x:v>0.06580150008316976</x:v>
      </x:c>
      <x:c r="I13" s="20" t="n">
        <x:v>2.0047653084040404</x:v>
      </x:c>
      <x:c r="J13" s="20" t="n">
        <x:v>1.8314456788421052</x:v>
      </x:c>
      <x:c r="K13" s="21" t="n">
        <x:f>I13/J13-1</x:f>
        <x:v>0.09463541920146556</x:v>
      </x:c>
      <x:c r="L13" s="4" t="str">
        <x:v>各自实际保载时窗；T不同，不是同物理时窗</x:v>
      </x:c>
      <x:c r="M13" s="4" t="str">
        <x:v>完整20%+保载</x:v>
      </x:c>
    </x:row>
    <x:row r="14" ht="25" customHeight="1">
      <x:c r="A14" s="4" t="str">
        <x:v>28-NH8</x:v>
      </x:c>
      <x:c r="B14" s="4" t="str">
        <x:v>diverse_28</x:v>
      </x:c>
      <x:c r="C14" s="4" t="str">
        <x:v>28-S40</x:v>
      </x:c>
      <x:c r="D14" s="4" t="str">
        <x:v>否</x:v>
      </x:c>
      <x:c r="E14" s="4" t="str">
        <x:v>是</x:v>
      </x:c>
      <x:c r="F14" s="4" t="str">
        <x:v>是</x:v>
      </x:c>
      <x:c r="G14" s="10" t="n">
        <x:v>0.24800325486388775</x:v>
      </x:c>
      <x:c r="H14" s="21" t="n">
        <x:v>0.06875279201664086</x:v>
      </x:c>
      <x:c r="I14" s="20" t="n">
        <x:v>2.004568660464527</x:v>
      </x:c>
      <x:c r="J14" s="20" t="n">
        <x:v>1.8314456788421052</x:v>
      </x:c>
      <x:c r="K14" s="21" t="n">
        <x:f>I14/J14-1</x:f>
        <x:v>0.09452804613450261</x:v>
      </x:c>
      <x:c r="L14" s="4" t="str">
        <x:v>各自实际保载时窗；T不同，不是同物理时窗</x:v>
      </x:c>
      <x:c r="M14" s="4" t="str">
        <x:v>完整20%+保载</x:v>
      </x:c>
    </x:row>
    <x:row r="15" ht="25" customHeight="1">
      <x:c r="A15" s="4" t="str">
        <x:v>04-J17</x:v>
      </x:c>
      <x:c r="B15" s="4" t="str">
        <x:v>diverse_04</x:v>
      </x:c>
      <x:c r="C15" s="4" t="str">
        <x:v>04-S4</x:v>
      </x:c>
      <x:c r="D15" s="4" t="str">
        <x:v>是</x:v>
      </x:c>
      <x:c r="E15" s="4" t="str">
        <x:v>是</x:v>
      </x:c>
      <x:c r="F15" s="4" t="str">
        <x:v>否</x:v>
      </x:c>
      <x:c r="G15" s="10" t="str">
        <x:v>n.a.</x:v>
      </x:c>
      <x:c r="H15" s="21" t="str">
        <x:v>n.a.</x:v>
      </x:c>
      <x:c r="I15" s="20" t="str">
        <x:v>n.a.</x:v>
      </x:c>
      <x:c r="J15" s="20" t="n">
        <x:v>1.3196162033255356</x:v>
      </x:c>
      <x:c r="K15" s="21" t="str">
        <x:v>n.a.</x:v>
      </x:c>
      <x:c r="L15" s="4" t="str">
        <x:v>匹配T各自保载时窗；仅原记录覆盖</x:v>
      </x:c>
      <x:c r="M15" s="4" t="str">
        <x:v>后续数值失败</x:v>
      </x:c>
    </x:row>
    <x:row r="16" ht="25" customHeight="1">
      <x:c r="A16" s="4" t="str">
        <x:v>04-J64</x:v>
      </x:c>
      <x:c r="B16" s="4" t="str">
        <x:v>diverse_04</x:v>
      </x:c>
      <x:c r="C16" s="4" t="str">
        <x:v>04-S2</x:v>
      </x:c>
      <x:c r="D16" s="4" t="str">
        <x:v>是</x:v>
      </x:c>
      <x:c r="E16" s="4" t="str">
        <x:v>是</x:v>
      </x:c>
      <x:c r="F16" s="4" t="str">
        <x:v>是</x:v>
      </x:c>
      <x:c r="G16" s="10" t="n">
        <x:v>1.7916563957501768</x:v>
      </x:c>
      <x:c r="H16" s="21" t="n">
        <x:v>0.21606394148808317</x:v>
      </x:c>
      <x:c r="I16" s="20" t="str">
        <x:v>n.a.</x:v>
      </x:c>
      <x:c r="J16" s="20" t="n">
        <x:v>1.4830720192193765</x:v>
      </x:c>
      <x:c r="K16" s="21" t="str">
        <x:v>n.a.</x:v>
      </x:c>
      <x:c r="L16" s="4" t="str">
        <x:v>匹配T各自保载时窗；仅原记录覆盖</x:v>
      </x:c>
      <x:c r="M16" s="4" t="str">
        <x:v>步长底线停止</x:v>
      </x:c>
    </x:row>
    <x:row r="17" ht="25" customHeight="1">
      <x:c r="A17" s="4" t="str">
        <x:v>28-OV</x:v>
      </x:c>
      <x:c r="B17" s="4" t="str">
        <x:v>diverse_28</x:v>
      </x:c>
      <x:c r="C17" s="4" t="str">
        <x:v>28-S40</x:v>
      </x:c>
      <x:c r="D17" s="4" t="str">
        <x:v>否</x:v>
      </x:c>
      <x:c r="E17" s="4" t="str">
        <x:v>是</x:v>
      </x:c>
      <x:c r="F17" s="4" t="str">
        <x:v>是</x:v>
      </x:c>
      <x:c r="G17" s="10" t="n">
        <x:v>-0.2364613984556646</x:v>
      </x:c>
      <x:c r="H17" s="21" t="n">
        <x:v>0.060481559341377444</x:v>
      </x:c>
      <x:c r="I17" s="20" t="n">
        <x:v>1.9572363517959137</x:v>
      </x:c>
      <x:c r="J17" s="20" t="n">
        <x:v>1.8314456788421052</x:v>
      </x:c>
      <x:c r="K17" s="21" t="n">
        <x:f>I17/J17-1</x:f>
        <x:v>0.06868381323400063</x:v>
      </x:c>
      <x:c r="L17" s="4" t="str">
        <x:v>各自实际保载时窗；T不同，不是同物理时窗</x:v>
      </x:c>
      <x:c r="M17" s="4" t="str">
        <x:v>完整20%+保载</x:v>
      </x:c>
    </x:row>
    <x:row r="18" ht="25" customHeight="1">
      <x:c r="A18" s="4" t="str">
        <x:v>04-J18</x:v>
      </x:c>
      <x:c r="B18" s="4" t="str">
        <x:v>diverse_04</x:v>
      </x:c>
      <x:c r="C18" s="4" t="str">
        <x:v>04-S4</x:v>
      </x:c>
      <x:c r="D18" s="4" t="str">
        <x:v>是</x:v>
      </x:c>
      <x:c r="E18" s="4" t="str">
        <x:v>是</x:v>
      </x:c>
      <x:c r="F18" s="4" t="str">
        <x:v>是</x:v>
      </x:c>
      <x:c r="G18" s="10" t="n">
        <x:v>4.116802323929562</x:v>
      </x:c>
      <x:c r="H18" s="21" t="n">
        <x:v>0.3522767859641771</x:v>
      </x:c>
      <x:c r="I18" s="20" t="str">
        <x:v>n.a.</x:v>
      </x:c>
      <x:c r="J18" s="20" t="n">
        <x:v>1.3196162033255356</x:v>
      </x:c>
      <x:c r="K18" s="21" t="str">
        <x:v>n.a.</x:v>
      </x:c>
      <x:c r="L18" s="4" t="str">
        <x:v>匹配T各自保载时窗；仅原记录覆盖</x:v>
      </x:c>
      <x:c r="M18" s="4" t="str">
        <x:v>预算停止</x:v>
      </x:c>
    </x:row>
    <x:row r="19" ht="25" customHeight="1">
      <x:c r="A19" s="4" t="str">
        <x:v>28-t45</x:v>
      </x:c>
      <x:c r="B19" s="4" t="str">
        <x:v>diverse_28</x:v>
      </x:c>
      <x:c r="C19" s="4" t="str">
        <x:v>28-S45</x:v>
      </x:c>
      <x:c r="D19" s="4" t="str">
        <x:v>否</x:v>
      </x:c>
      <x:c r="E19" s="4" t="str">
        <x:v>是</x:v>
      </x:c>
      <x:c r="F19" s="4" t="str">
        <x:v>是</x:v>
      </x:c>
      <x:c r="G19" s="10" t="n">
        <x:v>-0.2984391821262991</x:v>
      </x:c>
      <x:c r="H19" s="21" t="n">
        <x:v>0.05414778492200689</x:v>
      </x:c>
      <x:c r="I19" s="20" t="n">
        <x:v>1.4803725896455713</x:v>
      </x:c>
      <x:c r="J19" s="20" t="n">
        <x:v>1.3857341570189319</x:v>
      </x:c>
      <x:c r="K19" s="21" t="n">
        <x:f>I19/J19-1</x:f>
        <x:v>0.0682947967669576</x:v>
      </x:c>
      <x:c r="L19" s="4" t="str">
        <x:v>各自实际保载时窗；T不同，不是同物理时窗</x:v>
      </x:c>
      <x:c r="M19" s="4" t="str">
        <x:v>完整20%+保载</x:v>
      </x:c>
    </x:row>
    <x:row r="20" ht="25" customHeight="1">
      <x:c r="A20" s="4" t="str">
        <x:v>28-t55</x:v>
      </x:c>
      <x:c r="B20" s="4" t="str">
        <x:v>diverse_28</x:v>
      </x:c>
      <x:c r="C20" s="4" t="str">
        <x:v>28-S55</x:v>
      </x:c>
      <x:c r="D20" s="4" t="str">
        <x:v>否</x:v>
      </x:c>
      <x:c r="E20" s="4" t="str">
        <x:v>是</x:v>
      </x:c>
      <x:c r="F20" s="4" t="str">
        <x:v>是</x:v>
      </x:c>
      <x:c r="G20" s="10" t="n">
        <x:v>0.1465893746301808</x:v>
      </x:c>
      <x:c r="H20" s="21" t="n">
        <x:v>0.07578701494296447</x:v>
      </x:c>
      <x:c r="I20" s="20" t="n">
        <x:v>2.5448892203940394</x:v>
      </x:c>
      <x:c r="J20" s="20" t="n">
        <x:v>2.3487035795604823</x:v>
      </x:c>
      <x:c r="K20" s="21" t="n">
        <x:f>I20/J20-1</x:f>
        <x:v>0.0835293319007373</x:v>
      </x:c>
      <x:c r="L20" s="4" t="str">
        <x:v>各自实际保载时窗；T不同，不是同物理时窗</x:v>
      </x:c>
      <x:c r="M20" s="4" t="str">
        <x:v>完整20%+保载</x:v>
      </x:c>
    </x:row>
    <x:row r="21" ht="25" customHeight="1">
      <x:c r="A21" s="4" t="str">
        <x:v>28-C4</x:v>
      </x:c>
      <x:c r="B21" s="4" t="str">
        <x:v>diverse_28</x:v>
      </x:c>
      <x:c r="C21" s="4" t="str">
        <x:v>28-S40</x:v>
      </x:c>
      <x:c r="D21" s="4" t="str">
        <x:v>否</x:v>
      </x:c>
      <x:c r="E21" s="4" t="str">
        <x:v>是</x:v>
      </x:c>
      <x:c r="F21" s="4" t="str">
        <x:v>是</x:v>
      </x:c>
      <x:c r="G21" s="10" t="n">
        <x:v>-0.2364613984556646</x:v>
      </x:c>
      <x:c r="H21" s="21" t="n">
        <x:v>0.0604815593413901</x:v>
      </x:c>
      <x:c r="I21" s="20" t="n">
        <x:v>1.9572363517829003</x:v>
      </x:c>
      <x:c r="J21" s="20" t="n">
        <x:v>1.8314456788421052</x:v>
      </x:c>
      <x:c r="K21" s="21" t="n">
        <x:f>I21/J21-1</x:f>
        <x:v>0.06868381322689499</x:v>
      </x:c>
      <x:c r="L21" s="4" t="str">
        <x:v>各自实际保载时窗；T不同，不是同物理时窗</x:v>
      </x:c>
      <x:c r="M21" s="4" t="str">
        <x:v>完整20%+保载</x:v>
      </x:c>
    </x:row>
    <x:row r="22" ht="25" customHeight="1">
      <x:c r="A22" s="4" t="str">
        <x:v>28-C8</x:v>
      </x:c>
      <x:c r="B22" s="4" t="str">
        <x:v>diverse_28</x:v>
      </x:c>
      <x:c r="C22" s="4" t="str">
        <x:v>28-S40</x:v>
      </x:c>
      <x:c r="D22" s="4" t="str">
        <x:v>否</x:v>
      </x:c>
      <x:c r="E22" s="4" t="str">
        <x:v>是</x:v>
      </x:c>
      <x:c r="F22" s="4" t="str">
        <x:v>是</x:v>
      </x:c>
      <x:c r="G22" s="10" t="n">
        <x:v>0.08688407465367587</x:v>
      </x:c>
      <x:c r="H22" s="21" t="n">
        <x:v>0.06295026886560273</x:v>
      </x:c>
      <x:c r="I22" s="20" t="n">
        <x:v>1.9569584202100196</x:v>
      </x:c>
      <x:c r="J22" s="20" t="n">
        <x:v>1.8314456788421052</x:v>
      </x:c>
      <x:c r="K22" s="21" t="n">
        <x:f>I22/J22-1</x:f>
        <x:v>0.0685320579353832</x:v>
      </x:c>
      <x:c r="L22" s="4" t="str">
        <x:v>各自实际保载时窗；T不同，不是同物理时窗</x:v>
      </x:c>
      <x:c r="M22" s="4" t="str">
        <x:v>完整20%+保载</x:v>
      </x:c>
    </x:row>
    <x:row r="23" ht="25" customHeight="1">
      <x:c r="A23" s="4" t="str">
        <x:v>04-Support</x:v>
      </x:c>
      <x:c r="B23" s="4" t="str">
        <x:v>diverse_04</x:v>
      </x:c>
      <x:c r="C23" s="4" t="str">
        <x:v>04-S4</x:v>
      </x:c>
      <x:c r="D23" s="4" t="str">
        <x:v>是</x:v>
      </x:c>
      <x:c r="E23" s="4" t="str">
        <x:v>是</x:v>
      </x:c>
      <x:c r="F23" s="4" t="str">
        <x:v>否</x:v>
      </x:c>
      <x:c r="G23" s="10" t="str">
        <x:v>n.a.</x:v>
      </x:c>
      <x:c r="H23" s="21" t="str">
        <x:v>n.a.</x:v>
      </x:c>
      <x:c r="I23" s="20" t="str">
        <x:v>n.a.</x:v>
      </x:c>
      <x:c r="J23" s="20" t="n">
        <x:v>1.3196162033255356</x:v>
      </x:c>
      <x:c r="K23" s="21" t="str">
        <x:v>n.a.</x:v>
      </x:c>
      <x:c r="L23" s="4" t="str">
        <x:v>匹配T各自保载时窗；仅原记录覆盖</x:v>
      </x:c>
      <x:c r="M23" s="4" t="str">
        <x:v>完成已设定窗口</x:v>
      </x:c>
    </x:row>
  </x:sheetData>
  <x:pageMargins left="0.7" right="0.7" top="0.75" bottom="0.75" header="0.3" footer="0.3"/>
  <x:tableParts count="1">
    <x:tablePart xmlns:r="http://schemas.openxmlformats.org/officeDocument/2006/relationships" r:id="R2ca2125a7b9147b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5" hidden="0" customWidth="1"/>
    <x:col min="2" max="2" width="17" hidden="0" customWidth="1"/>
    <x:col min="3" max="3" width="35" hidden="0" customWidth="1"/>
    <x:col min="4" max="4" width="8" hidden="0" customWidth="1"/>
    <x:col min="5" max="5" width="13" hidden="0" customWidth="1"/>
    <x:col min="6" max="6" width="24" hidden="0" customWidth="1"/>
    <x:col min="7" max="7" width="15" hidden="0" customWidth="1"/>
    <x:col min="8" max="8" width="18" hidden="0" customWidth="1"/>
    <x:col min="9" max="9" width="12" hidden="0" customWidth="1"/>
    <x:col min="10" max="10" width="18" hidden="0" customWidth="1"/>
    <x:col min="11" max="11" width="20" hidden="0" customWidth="1"/>
    <x:col min="12" max="12" width="25" hidden="0" customWidth="1"/>
    <x:col min="13" max="13" width="25" hidden="0" customWidth="1"/>
    <x:col min="14" max="14" width="22" hidden="0" customWidth="1"/>
    <x:col min="15" max="15" width="20" hidden="0" customWidth="1"/>
    <x:col min="16" max="16" width="22" hidden="0" customWidth="1"/>
    <x:col min="17" max="17" width="18" hidden="0" customWidth="1"/>
    <x:col min="18" max="18" width="65" hidden="0" customWidth="1"/>
    <x:col min="19" max="19" width="90" hidden="0" customWidth="1"/>
    <x:col min="20" max="20" width="90" hidden="0" customWidth="1"/>
  </x:cols>
  <x:sheetData>
    <x:row r="2">
      <x:c r="A2" s="1" t="str">
        <x:v>初始K、早期有限应变平衡和厚度扰动</x:v>
      </x:c>
    </x:row>
    <x:row r="6" ht="40" customHeight="1">
      <x:c r="A6" s="8" t="str">
        <x:v>点ID</x:v>
      </x:c>
      <x:c r="B6" s="8" t="str">
        <x:v>构型</x:v>
      </x:c>
      <x:c r="C6" s="8" t="str">
        <x:v>条件</x:v>
      </x:c>
      <x:c r="D6" s="8" t="str">
        <x:v>N</x:v>
      </x:c>
      <x:c r="E6" s="8" t="str">
        <x:v>单元</x:v>
      </x:c>
      <x:c r="F6" s="8" t="str">
        <x:v>积分规则</x:v>
      </x:c>
      <x:c r="G6" s="8" t="str">
        <x:v>厚度 (mm)</x:v>
      </x:c>
      <x:c r="H6" s="8" t="str">
        <x:v>界面宽 (mm)</x:v>
      </x:c>
      <x:c r="I6" s="8" t="str">
        <x:v>占据</x:v>
      </x:c>
      <x:c r="J6" s="8" t="str">
        <x:v>压缩量 (%)</x:v>
      </x:c>
      <x:c r="K6" s="8" t="str">
        <x:v>本力 (N)</x:v>
      </x:c>
      <x:c r="L6" s="8" t="str">
        <x:v>K/割线K (N/mm)</x:v>
      </x:c>
      <x:c r="M6" s="8" t="str">
        <x:v>匹配壳K (N/mm)</x:v>
      </x:c>
      <x:c r="N6" s="8" t="str">
        <x:v>匹配壳力 (N)</x:v>
      </x:c>
      <x:c r="O6" s="8" t="str">
        <x:v>相对壳 (%)</x:v>
      </x:c>
      <x:c r="P6" s="8" t="str">
        <x:v>边界</x:v>
      </x:c>
      <x:c r="Q6" s="8" t="str">
        <x:v>状态</x:v>
      </x:c>
      <x:c r="R6" s="8" t="str">
        <x:v>范围</x:v>
      </x:c>
      <x:c r="S6" s="8" t="str">
        <x:v>本来源</x:v>
      </x:c>
      <x:c r="T6" s="8" t="str">
        <x:v>参考来源</x:v>
      </x:c>
    </x:row>
    <x:row r="7" ht="25" customHeight="1">
      <x:c r="A7" s="4" t="str">
        <x:v>28-Lflat</x:v>
      </x:c>
      <x:c r="B7" s="4" t="str">
        <x:v>diverse_28</x:v>
      </x:c>
      <x:c r="C7" s="4" t="str">
        <x:v>旧平端 HEX8</x:v>
      </x:c>
      <x:c r="D7" s="4" t="n">
        <x:v>64</x:v>
      </x:c>
      <x:c r="E7" s="4" t="str">
        <x:v>HEX8</x:v>
      </x:c>
      <x:c r="F7" s="4" t="str">
        <x:v>8</x:v>
      </x:c>
      <x:c r="G7" s="9" t="n">
        <x:v>0.5</x:v>
      </x:c>
      <x:c r="H7" s="9" t="n">
        <x:v>0.05</x:v>
      </x:c>
      <x:c r="I7" s="4" t="str">
        <x:v>平滑</x:v>
      </x:c>
      <x:c r="J7" s="20" t="n">
        <x:v>0.01</x:v>
      </x:c>
      <x:c r="K7" s="20" t="n">
        <x:v>0.003119685747314023</x:v>
      </x:c>
      <x:c r="L7" s="20" t="n">
        <x:v>3.1196857473140223</x:v>
      </x:c>
      <x:c r="M7" s="20" t="n">
        <x:v>2.200302563407057</x:v>
      </x:c>
      <x:c r="N7" s="20" t="n">
        <x:v>0.002200302667915821</x:v>
      </x:c>
      <x:c r="O7" s="21" t="n">
        <x:f>L7/M7-1</x:f>
        <x:v>0.41784398164011893</x:v>
      </x:c>
      <x:c r="P7" s="4" t="str">
        <x:v>XY周期+平端</x:v>
      </x:c>
      <x:c r="Q7" s="4" t="str">
        <x:v>ok</x:v>
      </x:c>
      <x:c r="R7" s="4" t="str">
        <x:v>早期小变形平衡</x:v>
      </x:c>
      <x:c r="S7" s="4" t="str">
        <x:v>validation/thin_target_20261004_r5/step2/jax.json</x:v>
      </x:c>
      <x:c r="T7" s="4" t="str">
        <x:v>validation/thin_target_20261004_r5/step2/shell.json</x:v>
      </x:c>
    </x:row>
    <x:row r="8" ht="25" customHeight="1">
      <x:c r="A8" s="4" t="str">
        <x:v>28-Lxyz</x:v>
      </x:c>
      <x:c r="B8" s="4" t="str">
        <x:v>diverse_28</x:v>
      </x:c>
      <x:c r="C8" s="4" t="str">
        <x:v>早期 XYZ HEX8</x:v>
      </x:c>
      <x:c r="D8" s="4" t="n">
        <x:v>64</x:v>
      </x:c>
      <x:c r="E8" s="4" t="str">
        <x:v>HEX8</x:v>
      </x:c>
      <x:c r="F8" s="4" t="str">
        <x:v>8</x:v>
      </x:c>
      <x:c r="G8" s="9" t="n">
        <x:v>0.5</x:v>
      </x:c>
      <x:c r="H8" s="9" t="n">
        <x:v>0.05</x:v>
      </x:c>
      <x:c r="I8" s="4" t="str">
        <x:v>平滑</x:v>
      </x:c>
      <x:c r="J8" s="20" t="n">
        <x:v>0.01</x:v>
      </x:c>
      <x:c r="K8" s="20" t="n">
        <x:v>0.00396282591086953</x:v>
      </x:c>
      <x:c r="L8" s="20" t="n">
        <x:v>3.962825910869529</x:v>
      </x:c>
      <x:c r="M8" s="20" t="n">
        <x:v>3.7748837447547623</x:v>
      </x:c>
      <x:c r="N8" s="20" t="n">
        <x:v>0.0037748839240521193</x:v>
      </x:c>
      <x:c r="O8" s="21" t="n">
        <x:f>L8/M8-1</x:f>
        <x:v>0.04978753753037135</x:v>
      </x:c>
      <x:c r="P8" s="4" t="str">
        <x:v>XYZ</x:v>
      </x:c>
      <x:c r="Q8" s="4" t="str">
        <x:v>ok</x:v>
      </x:c>
      <x:c r="R8" s="4" t="str">
        <x:v>早期小变形平衡</x:v>
      </x:c>
      <x:c r="S8" s="4" t="str">
        <x:v>validation/thin_target_20261004_r5/step2/diagnostic_xyz/jax.json</x:v>
      </x:c>
      <x:c r="T8" s="4" t="str">
        <x:v>validation/thin_target_20261004_r5/step2/diagnostic_xyz/shell.json</x:v>
      </x:c>
    </x:row>
    <x:row r="9" ht="25" customHeight="1">
      <x:c r="A9" s="4" t="str">
        <x:v>28-E01</x:v>
      </x:c>
      <x:c r="B9" s="4" t="str">
        <x:v>diverse_28</x:v>
      </x:c>
      <x:c r="C9" s="4" t="str">
        <x:v>早期 NH 静力 a0p010000</x:v>
      </x:c>
      <x:c r="D9" s="4" t="n">
        <x:v>64</x:v>
      </x:c>
      <x:c r="E9" s="4" t="str">
        <x:v>HEX8</x:v>
      </x:c>
      <x:c r="F9" s="4" t="str">
        <x:v>8</x:v>
      </x:c>
      <x:c r="G9" s="9" t="n">
        <x:v>0.5</x:v>
      </x:c>
      <x:c r="H9" s="9" t="n">
        <x:v>0.05</x:v>
      </x:c>
      <x:c r="I9" s="4" t="str">
        <x:v>平滑</x:v>
      </x:c>
      <x:c r="J9" s="20" t="n">
        <x:v>1</x:v>
      </x:c>
      <x:c r="K9" s="20" t="n">
        <x:v>0.3890530227782958</x:v>
      </x:c>
      <x:c r="L9" s="20" t="n">
        <x:v>3.890530227782958</x:v>
      </x:c>
      <x:c r="M9" s="20" t="str">
        <x:v>n.a.</x:v>
      </x:c>
      <x:c r="N9" s="20" t="n">
        <x:v>0.3693266212940216</x:v>
      </x:c>
      <x:c r="O9" s="21" t="n">
        <x:f>K9/N9-1</x:f>
        <x:v>0.05341180501735332</x:v>
      </x:c>
      <x:c r="P9" s="4" t="str">
        <x:v>XYZ</x:v>
      </x:c>
      <x:c r="Q9" s="4" t="str">
        <x:v>ok</x:v>
      </x:c>
      <x:c r="R9" s="4" t="str">
        <x:v>离散有限应变平衡</x:v>
      </x:c>
      <x:c r="S9" s="4" t="str">
        <x:v>validation/thin_target_20261004_r5/step3_xyz/a0p010000/jax.json</x:v>
      </x:c>
      <x:c r="T9" s="4" t="str">
        <x:v>validation/thin_target_20261004_r5/step3_xyz/a0p010000/shell.json</x:v>
      </x:c>
    </x:row>
    <x:row r="10" ht="25" customHeight="1">
      <x:c r="A10" s="4" t="str">
        <x:v>28-E05</x:v>
      </x:c>
      <x:c r="B10" s="4" t="str">
        <x:v>diverse_28</x:v>
      </x:c>
      <x:c r="C10" s="4" t="str">
        <x:v>早期 NH 静力 a0p050000</x:v>
      </x:c>
      <x:c r="D10" s="4" t="n">
        <x:v>64</x:v>
      </x:c>
      <x:c r="E10" s="4" t="str">
        <x:v>HEX8</x:v>
      </x:c>
      <x:c r="F10" s="4" t="str">
        <x:v>8</x:v>
      </x:c>
      <x:c r="G10" s="9" t="n">
        <x:v>0.5</x:v>
      </x:c>
      <x:c r="H10" s="9" t="n">
        <x:v>0.05</x:v>
      </x:c>
      <x:c r="I10" s="4" t="str">
        <x:v>平滑</x:v>
      </x:c>
      <x:c r="J10" s="20" t="n">
        <x:v>5</x:v>
      </x:c>
      <x:c r="K10" s="20" t="n">
        <x:v>1.7396392699188836</x:v>
      </x:c>
      <x:c r="L10" s="20" t="n">
        <x:v>3.4792785398377672</x:v>
      </x:c>
      <x:c r="M10" s="20" t="str">
        <x:v>n.a.</x:v>
      </x:c>
      <x:c r="N10" s="20" t="n">
        <x:v>1.6124645471572876</x:v>
      </x:c>
      <x:c r="O10" s="21" t="n">
        <x:f>K10/N10-1</x:f>
        <x:v>0.07886977917486626</x:v>
      </x:c>
      <x:c r="P10" s="4" t="str">
        <x:v>XYZ</x:v>
      </x:c>
      <x:c r="Q10" s="4" t="str">
        <x:v>ok</x:v>
      </x:c>
      <x:c r="R10" s="4" t="str">
        <x:v>离散有限应变平衡</x:v>
      </x:c>
      <x:c r="S10" s="4" t="str">
        <x:v>validation/thin_target_20261004_r5/step3_xyz/a0p050000/jax.json</x:v>
      </x:c>
      <x:c r="T10" s="4" t="str">
        <x:v>validation/thin_target_20261004_r5/step3_xyz/a0p050000/shell.json</x:v>
      </x:c>
    </x:row>
    <x:row r="11" ht="25" customHeight="1">
      <x:c r="A11" s="4" t="str">
        <x:v>28-E10</x:v>
      </x:c>
      <x:c r="B11" s="4" t="str">
        <x:v>diverse_28</x:v>
      </x:c>
      <x:c r="C11" s="4" t="str">
        <x:v>早期 NH 静力 a0p100000</x:v>
      </x:c>
      <x:c r="D11" s="4" t="n">
        <x:v>64</x:v>
      </x:c>
      <x:c r="E11" s="4" t="str">
        <x:v>HEX8</x:v>
      </x:c>
      <x:c r="F11" s="4" t="str">
        <x:v>8</x:v>
      </x:c>
      <x:c r="G11" s="9" t="n">
        <x:v>0.5</x:v>
      </x:c>
      <x:c r="H11" s="9" t="n">
        <x:v>0.05</x:v>
      </x:c>
      <x:c r="I11" s="4" t="str">
        <x:v>平滑</x:v>
      </x:c>
      <x:c r="J11" s="20" t="n">
        <x:v>10</x:v>
      </x:c>
      <x:c r="K11" s="20" t="n">
        <x:v>2.5723569042952326</x:v>
      </x:c>
      <x:c r="L11" s="20" t="n">
        <x:v>2.5723569042952326</x:v>
      </x:c>
      <x:c r="M11" s="20" t="str">
        <x:v>n.a.</x:v>
      </x:c>
      <x:c r="N11" s="20" t="n">
        <x:v>2.2526445388793945</x:v>
      </x:c>
      <x:c r="O11" s="21" t="n">
        <x:f>K11/N11-1</x:f>
        <x:v>0.14192756997288303</x:v>
      </x:c>
      <x:c r="P11" s="4" t="str">
        <x:v>XYZ</x:v>
      </x:c>
      <x:c r="Q11" s="4" t="str">
        <x:v>ok</x:v>
      </x:c>
      <x:c r="R11" s="4" t="str">
        <x:v>离散有限应变平衡；10%原比较未接受</x:v>
      </x:c>
      <x:c r="S11" s="4" t="str">
        <x:v>validation/thin_target_20261004_r5/step3_xyz/a0p100000/jax.json</x:v>
      </x:c>
      <x:c r="T11" s="4" t="str">
        <x:v>validation/thin_target_20261004_r5/step3_xyz/a0p100000/shell.json</x:v>
      </x:c>
    </x:row>
    <x:row r="12" ht="25" customHeight="1">
      <x:c r="A12" s="4" t="str">
        <x:v>28-FD0.498a0.01</x:v>
      </x:c>
      <x:c r="B12" s="4" t="str">
        <x:v>diverse_28</x:v>
      </x:c>
      <x:c r="C12" s="4" t="str">
        <x:v>早期厚度扰动</x:v>
      </x:c>
      <x:c r="D12" s="4" t="n">
        <x:v>64</x:v>
      </x:c>
      <x:c r="E12" s="4" t="str">
        <x:v>HEX8</x:v>
      </x:c>
      <x:c r="F12" s="4" t="str">
        <x:v>8</x:v>
      </x:c>
      <x:c r="G12" s="9" t="n">
        <x:v>0.498</x:v>
      </x:c>
      <x:c r="H12" s="9" t="n">
        <x:v>0.05</x:v>
      </x:c>
      <x:c r="I12" s="4" t="str">
        <x:v>平滑</x:v>
      </x:c>
      <x:c r="J12" s="20" t="n">
        <x:v>1</x:v>
      </x:c>
      <x:c r="K12" s="20" t="n">
        <x:v>0.3870952727458407</x:v>
      </x:c>
      <x:c r="L12" s="20" t="n">
        <x:v>3.870952727458407</x:v>
      </x:c>
      <x:c r="M12" s="20" t="str">
        <x:v>n.a.</x:v>
      </x:c>
      <x:c r="N12" s="20" t="n">
        <x:v>0.36746782064437866</x:v>
      </x:c>
      <x:c r="O12" s="21" t="n">
        <x:f>K12/N12-1</x:f>
        <x:v>0.053412709899451905</x:v>
      </x:c>
      <x:c r="P12" s="4" t="str">
        <x:v>XYZ</x:v>
      </x:c>
      <x:c r="Q12" s="4" t="str">
        <x:v>ok</x:v>
      </x:c>
      <x:c r="R12" s="4" t="str">
        <x:v>厚度FD前向点；不是连续压缩路径</x:v>
      </x:c>
      <x:c r="S12" s="4" t="str">
        <x:v>validation/thin_target_20261004_r5/step4_thickness_a01/t0p498000/jax.json</x:v>
      </x:c>
      <x:c r="T12" s="4" t="str">
        <x:v>validation/thin_target_20261004_r5/step4_thickness_a01/t0p498000/shell.json</x:v>
      </x:c>
    </x:row>
    <x:row r="13" ht="25" customHeight="1">
      <x:c r="A13" s="4" t="str">
        <x:v>28-FD0.499a0.01</x:v>
      </x:c>
      <x:c r="B13" s="4" t="str">
        <x:v>diverse_28</x:v>
      </x:c>
      <x:c r="C13" s="4" t="str">
        <x:v>早期厚度扰动</x:v>
      </x:c>
      <x:c r="D13" s="4" t="n">
        <x:v>64</x:v>
      </x:c>
      <x:c r="E13" s="4" t="str">
        <x:v>HEX8</x:v>
      </x:c>
      <x:c r="F13" s="4" t="str">
        <x:v>8</x:v>
      </x:c>
      <x:c r="G13" s="9" t="n">
        <x:v>0.499</x:v>
      </x:c>
      <x:c r="H13" s="9" t="n">
        <x:v>0.05</x:v>
      </x:c>
      <x:c r="I13" s="4" t="str">
        <x:v>平滑</x:v>
      </x:c>
      <x:c r="J13" s="20" t="n">
        <x:v>1</x:v>
      </x:c>
      <x:c r="K13" s="20" t="n">
        <x:v>0.3880740045252322</x:v>
      </x:c>
      <x:c r="L13" s="20" t="n">
        <x:v>3.880740045252322</x:v>
      </x:c>
      <x:c r="M13" s="20" t="str">
        <x:v>n.a.</x:v>
      </x:c>
      <x:c r="N13" s="20" t="str">
        <x:v>n.a.</x:v>
      </x:c>
      <x:c r="O13" s="21" t="str">
        <x:v>n.a.</x:v>
      </x:c>
      <x:c r="P13" s="4" t="str">
        <x:v>XYZ</x:v>
      </x:c>
      <x:c r="Q13" s="4" t="str">
        <x:v>ok</x:v>
      </x:c>
      <x:c r="R13" s="4" t="str">
        <x:v>厚度FD前向点；不是连续压缩路径</x:v>
      </x:c>
      <x:c r="S13" s="4" t="str">
        <x:v>validation/thin_target_20261004_r5/step4_thickness_a01/t0p499000/jax.json</x:v>
      </x:c>
      <x:c r="T13" s="4" t="str">
        <x:v>n.a.</x:v>
      </x:c>
    </x:row>
    <x:row r="14" ht="25" customHeight="1">
      <x:c r="A14" s="4" t="str">
        <x:v>28-FD0.501a0.01</x:v>
      </x:c>
      <x:c r="B14" s="4" t="str">
        <x:v>diverse_28</x:v>
      </x:c>
      <x:c r="C14" s="4" t="str">
        <x:v>早期厚度扰动</x:v>
      </x:c>
      <x:c r="D14" s="4" t="n">
        <x:v>64</x:v>
      </x:c>
      <x:c r="E14" s="4" t="str">
        <x:v>HEX8</x:v>
      </x:c>
      <x:c r="F14" s="4" t="str">
        <x:v>8</x:v>
      </x:c>
      <x:c r="G14" s="9" t="n">
        <x:v>0.501</x:v>
      </x:c>
      <x:c r="H14" s="9" t="n">
        <x:v>0.05</x:v>
      </x:c>
      <x:c r="I14" s="4" t="str">
        <x:v>平滑</x:v>
      </x:c>
      <x:c r="J14" s="20" t="n">
        <x:v>1</x:v>
      </x:c>
      <x:c r="K14" s="20" t="n">
        <x:v>0.39003233472726384</x:v>
      </x:c>
      <x:c r="L14" s="20" t="n">
        <x:v>3.9003233472726384</x:v>
      </x:c>
      <x:c r="M14" s="20" t="str">
        <x:v>n.a.</x:v>
      </x:c>
      <x:c r="N14" s="20" t="str">
        <x:v>n.a.</x:v>
      </x:c>
      <x:c r="O14" s="21" t="str">
        <x:v>n.a.</x:v>
      </x:c>
      <x:c r="P14" s="4" t="str">
        <x:v>XYZ</x:v>
      </x:c>
      <x:c r="Q14" s="4" t="str">
        <x:v>ok</x:v>
      </x:c>
      <x:c r="R14" s="4" t="str">
        <x:v>厚度FD前向点；不是连续压缩路径</x:v>
      </x:c>
      <x:c r="S14" s="4" t="str">
        <x:v>validation/thin_target_20261004_r5/step4_thickness_a01/t0p501000/jax.json</x:v>
      </x:c>
      <x:c r="T14" s="4" t="str">
        <x:v>n.a.</x:v>
      </x:c>
    </x:row>
    <x:row r="15" ht="25" customHeight="1">
      <x:c r="A15" s="4" t="str">
        <x:v>28-FD0.502a0.01</x:v>
      </x:c>
      <x:c r="B15" s="4" t="str">
        <x:v>diverse_28</x:v>
      </x:c>
      <x:c r="C15" s="4" t="str">
        <x:v>早期厚度扰动</x:v>
      </x:c>
      <x:c r="D15" s="4" t="n">
        <x:v>64</x:v>
      </x:c>
      <x:c r="E15" s="4" t="str">
        <x:v>HEX8</x:v>
      </x:c>
      <x:c r="F15" s="4" t="str">
        <x:v>8</x:v>
      </x:c>
      <x:c r="G15" s="9" t="n">
        <x:v>0.502</x:v>
      </x:c>
      <x:c r="H15" s="9" t="n">
        <x:v>0.05</x:v>
      </x:c>
      <x:c r="I15" s="4" t="str">
        <x:v>平滑</x:v>
      </x:c>
      <x:c r="J15" s="20" t="n">
        <x:v>1</x:v>
      </x:c>
      <x:c r="K15" s="20" t="n">
        <x:v>0.39101195507428527</x:v>
      </x:c>
      <x:c r="L15" s="20" t="n">
        <x:v>3.9101195507428526</x:v>
      </x:c>
      <x:c r="M15" s="20" t="str">
        <x:v>n.a.</x:v>
      </x:c>
      <x:c r="N15" s="20" t="n">
        <x:v>0.37118595838546753</x:v>
      </x:c>
      <x:c r="O15" s="21" t="n">
        <x:f>K15/N15-1</x:f>
        <x:v>0.05341257189537574</x:v>
      </x:c>
      <x:c r="P15" s="4" t="str">
        <x:v>XYZ</x:v>
      </x:c>
      <x:c r="Q15" s="4" t="str">
        <x:v>ok</x:v>
      </x:c>
      <x:c r="R15" s="4" t="str">
        <x:v>厚度FD前向点；不是连续压缩路径</x:v>
      </x:c>
      <x:c r="S15" s="4" t="str">
        <x:v>validation/thin_target_20261004_r5/step4_thickness_a01/t0p502000/jax.json</x:v>
      </x:c>
      <x:c r="T15" s="4" t="str">
        <x:v>validation/thin_target_20261004_r5/step4_thickness_a01/t0p502000/shell.json</x:v>
      </x:c>
    </x:row>
    <x:row r="16" ht="25" customHeight="1">
      <x:c r="A16" s="4" t="str">
        <x:v>28-FD0.499a0.05</x:v>
      </x:c>
      <x:c r="B16" s="4" t="str">
        <x:v>diverse_28</x:v>
      </x:c>
      <x:c r="C16" s="4" t="str">
        <x:v>早期厚度扰动</x:v>
      </x:c>
      <x:c r="D16" s="4" t="n">
        <x:v>64</x:v>
      </x:c>
      <x:c r="E16" s="4" t="str">
        <x:v>HEX8</x:v>
      </x:c>
      <x:c r="F16" s="4" t="str">
        <x:v>8</x:v>
      </x:c>
      <x:c r="G16" s="9" t="n">
        <x:v>0.499</x:v>
      </x:c>
      <x:c r="H16" s="9" t="n">
        <x:v>0.05</x:v>
      </x:c>
      <x:c r="I16" s="4" t="str">
        <x:v>平滑</x:v>
      </x:c>
      <x:c r="J16" s="20" t="n">
        <x:v>5</x:v>
      </x:c>
      <x:c r="K16" s="20" t="n">
        <x:v>1.7346279282368857</x:v>
      </x:c>
      <x:c r="L16" s="20" t="n">
        <x:v>3.4692558564737714</x:v>
      </x:c>
      <x:c r="M16" s="20" t="str">
        <x:v>n.a.</x:v>
      </x:c>
      <x:c r="N16" s="20" t="str">
        <x:v>n.a.</x:v>
      </x:c>
      <x:c r="O16" s="21" t="str">
        <x:v>n.a.</x:v>
      </x:c>
      <x:c r="P16" s="4" t="str">
        <x:v>XYZ</x:v>
      </x:c>
      <x:c r="Q16" s="4" t="str">
        <x:v>ok</x:v>
      </x:c>
      <x:c r="R16" s="4" t="str">
        <x:v>厚度FD前向点；不是连续压缩路径</x:v>
      </x:c>
      <x:c r="S16" s="4" t="str">
        <x:v>validation/thin_target_20261004_r5/step4_thickness_a05/t0p499000/jax.json</x:v>
      </x:c>
      <x:c r="T16" s="4" t="str">
        <x:v>n.a.</x:v>
      </x:c>
    </x:row>
    <x:row r="17" ht="25" customHeight="1">
      <x:c r="A17" s="4" t="str">
        <x:v>28-FD0.501a0.05</x:v>
      </x:c>
      <x:c r="B17" s="4" t="str">
        <x:v>diverse_28</x:v>
      </x:c>
      <x:c r="C17" s="4" t="str">
        <x:v>早期厚度扰动</x:v>
      </x:c>
      <x:c r="D17" s="4" t="n">
        <x:v>64</x:v>
      </x:c>
      <x:c r="E17" s="4" t="str">
        <x:v>HEX8</x:v>
      </x:c>
      <x:c r="F17" s="4" t="str">
        <x:v>8</x:v>
      </x:c>
      <x:c r="G17" s="9" t="n">
        <x:v>0.501</x:v>
      </x:c>
      <x:c r="H17" s="9" t="n">
        <x:v>0.05</x:v>
      </x:c>
      <x:c r="I17" s="4" t="str">
        <x:v>平滑</x:v>
      </x:c>
      <x:c r="J17" s="20" t="n">
        <x:v>5</x:v>
      </x:c>
      <x:c r="K17" s="20" t="n">
        <x:v>1.744653296275121</x:v>
      </x:c>
      <x:c r="L17" s="20" t="n">
        <x:v>3.489306592550242</x:v>
      </x:c>
      <x:c r="M17" s="20" t="str">
        <x:v>n.a.</x:v>
      </x:c>
      <x:c r="N17" s="20" t="str">
        <x:v>n.a.</x:v>
      </x:c>
      <x:c r="O17" s="21" t="str">
        <x:v>n.a.</x:v>
      </x:c>
      <x:c r="P17" s="4" t="str">
        <x:v>XYZ</x:v>
      </x:c>
      <x:c r="Q17" s="4" t="str">
        <x:v>ok</x:v>
      </x:c>
      <x:c r="R17" s="4" t="str">
        <x:v>厚度FD前向点；不是连续压缩路径</x:v>
      </x:c>
      <x:c r="S17" s="4" t="str">
        <x:v>validation/thin_target_20261004_r5/step4_thickness_a05/t0p501000/jax.json</x:v>
      </x:c>
      <x:c r="T17" s="4" t="str">
        <x:v>n.a.</x:v>
      </x:c>
    </x:row>
    <x:row r="18" ht="25" customHeight="1">
      <x:c r="A18" s="4" t="str">
        <x:v>04-Kbase</x:v>
      </x:c>
      <x:c r="B18" s="4" t="str">
        <x:v>diverse_04</x:v>
      </x:c>
      <x:c r="C18" s="4" t="str">
        <x:v>平滑 w0.05 原27</x:v>
      </x:c>
      <x:c r="D18" s="4" t="n">
        <x:v>32</x:v>
      </x:c>
      <x:c r="E18" s="4" t="str">
        <x:v>HEX27</x:v>
      </x:c>
      <x:c r="F18" s="4" t="str">
        <x:v>27</x:v>
      </x:c>
      <x:c r="G18" s="9" t="n">
        <x:v>0.5</x:v>
      </x:c>
      <x:c r="H18" s="9" t="n">
        <x:v>0.05</x:v>
      </x:c>
      <x:c r="I18" s="4" t="str">
        <x:v>平滑</x:v>
      </x:c>
      <x:c r="J18" s="20" t="n">
        <x:v>0.01</x:v>
      </x:c>
      <x:c r="K18" s="20" t="n">
        <x:v>0.004916454681739766</x:v>
      </x:c>
      <x:c r="L18" s="20" t="n">
        <x:v>4.916454681739766</x:v>
      </x:c>
      <x:c r="M18" s="20" t="n">
        <x:v>4.651218897465464</x:v>
      </x:c>
      <x:c r="N18" s="20" t="n">
        <x:v>0.004651219118386507</x:v>
      </x:c>
      <x:c r="O18" s="21" t="n">
        <x:f>L18/M18-1</x:f>
        <x:v>0.0570250057288928</x:v>
      </x:c>
      <x:c r="P18" s="4" t="str">
        <x:v>XYZ</x:v>
      </x:c>
      <x:c r="Q18" s="4" t="str">
        <x:v>ok</x:v>
      </x:c>
      <x:c r="R18" s="4" t="str">
        <x:v>初始平衡</x:v>
      </x:c>
      <x:c r="S18" s="4" t="str">
        <x:v>validation/initial_tangent_20261008_r30/jax_result.json</x:v>
      </x:c>
      <x:c r="T18" s="4" t="str">
        <x:v>validation/initial_tangent_20261008_r30/abaqus/shell_result.json</x:v>
      </x:c>
    </x:row>
    <x:row r="19" ht="25" customHeight="1">
      <x:c r="A19" s="4" t="str">
        <x:v>04-Kmixed</x:v>
      </x:c>
      <x:c r="B19" s="4" t="str">
        <x:v>diverse_04</x:v>
      </x:c>
      <x:c r="C19" s="4" t="str">
        <x:v>平滑 w0.05 局部12³</x:v>
      </x:c>
      <x:c r="D19" s="4" t="n">
        <x:v>32</x:v>
      </x:c>
      <x:c r="E19" s="4" t="str">
        <x:v>HEX27</x:v>
      </x:c>
      <x:c r="F19" s="4" t="str">
        <x:v>1941区12³/余27</x:v>
      </x:c>
      <x:c r="G19" s="9" t="n">
        <x:v>0.5</x:v>
      </x:c>
      <x:c r="H19" s="9" t="n">
        <x:v>0.05</x:v>
      </x:c>
      <x:c r="I19" s="4" t="str">
        <x:v>平滑</x:v>
      </x:c>
      <x:c r="J19" s="20" t="n">
        <x:v>0.01</x:v>
      </x:c>
      <x:c r="K19" s="20" t="n">
        <x:v>0.0049536122537848165</x:v>
      </x:c>
      <x:c r="L19" s="20" t="n">
        <x:v>4.953612253784817</x:v>
      </x:c>
      <x:c r="M19" s="20" t="n">
        <x:v>4.651218897465464</x:v>
      </x:c>
      <x:c r="N19" s="20" t="n">
        <x:v>0.004651219118386507</x:v>
      </x:c>
      <x:c r="O19" s="21" t="n">
        <x:f>L19/M19-1</x:f>
        <x:v>0.06501378735026475</x:v>
      </x:c>
      <x:c r="P19" s="4" t="str">
        <x:v>XYZ</x:v>
      </x:c>
      <x:c r="Q19" s="4" t="str">
        <x:v>ok</x:v>
      </x:c>
      <x:c r="R19" s="4" t="str">
        <x:v>初始平衡</x:v>
      </x:c>
      <x:c r="S19" s="4" t="str">
        <x:v>validation/local_reequilibrium_20261008_r34/result.json</x:v>
      </x:c>
      <x:c r="T19" s="4" t="str">
        <x:v>validation/initial_tangent_20261008_r30/abaqus/shell_result.json</x:v>
      </x:c>
    </x:row>
    <x:row r="20" ht="25" customHeight="1">
      <x:c r="A20" s="4" t="str">
        <x:v>04-Kw0.025</x:v>
      </x:c>
      <x:c r="B20" s="4" t="str">
        <x:v>diverse_04</x:v>
      </x:c>
      <x:c r="C20" s="4" t="str">
        <x:v>平滑 w0.025 原27</x:v>
      </x:c>
      <x:c r="D20" s="4" t="n">
        <x:v>32</x:v>
      </x:c>
      <x:c r="E20" s="4" t="str">
        <x:v>HEX27</x:v>
      </x:c>
      <x:c r="F20" s="4" t="str">
        <x:v>27</x:v>
      </x:c>
      <x:c r="G20" s="9" t="n">
        <x:v>0.5</x:v>
      </x:c>
      <x:c r="H20" s="9" t="n">
        <x:v>0.025</x:v>
      </x:c>
      <x:c r="I20" s="4" t="str">
        <x:v>平滑</x:v>
      </x:c>
      <x:c r="J20" s="20" t="n">
        <x:v>0.01</x:v>
      </x:c>
      <x:c r="K20" s="20" t="n">
        <x:v>0.004843334914092281</x:v>
      </x:c>
      <x:c r="L20" s="20" t="n">
        <x:v>4.8433349140922815</x:v>
      </x:c>
      <x:c r="M20" s="20" t="n">
        <x:v>4.651218897465464</x:v>
      </x:c>
      <x:c r="N20" s="20" t="str">
        <x:v>n.a.</x:v>
      </x:c>
      <x:c r="O20" s="21" t="n">
        <x:f>L20/M20-1</x:f>
        <x:v>0.04130444532109756</x:v>
      </x:c>
      <x:c r="P20" s="4" t="str">
        <x:v>XYZ</x:v>
      </x:c>
      <x:c r="Q20" s="4" t="str">
        <x:v>ok</x:v>
      </x:c>
      <x:c r="R20" s="4" t="str">
        <x:v>初始平衡</x:v>
      </x:c>
      <x:c r="S20" s="4" t="str">
        <x:v>validation/interface_width_20261008_r37/result.json</x:v>
      </x:c>
      <x:c r="T20" s="4" t="str">
        <x:v>validation/initial_tangent_20261008_r30/abaqus/shell_result.json</x:v>
      </x:c>
    </x:row>
    <x:row r="21" ht="25" customHeight="1">
      <x:c r="A21" s="4" t="str">
        <x:v>04-Kw0.1</x:v>
      </x:c>
      <x:c r="B21" s="4" t="str">
        <x:v>diverse_04</x:v>
      </x:c>
      <x:c r="C21" s="4" t="str">
        <x:v>平滑 w0.1 原27</x:v>
      </x:c>
      <x:c r="D21" s="4" t="n">
        <x:v>32</x:v>
      </x:c>
      <x:c r="E21" s="4" t="str">
        <x:v>HEX27</x:v>
      </x:c>
      <x:c r="F21" s="4" t="str">
        <x:v>27</x:v>
      </x:c>
      <x:c r="G21" s="9" t="n">
        <x:v>0.5</x:v>
      </x:c>
      <x:c r="H21" s="9" t="n">
        <x:v>0.1</x:v>
      </x:c>
      <x:c r="I21" s="4" t="str">
        <x:v>平滑</x:v>
      </x:c>
      <x:c r="J21" s="20" t="n">
        <x:v>0.01</x:v>
      </x:c>
      <x:c r="K21" s="20" t="n">
        <x:v>0.005007969495962317</x:v>
      </x:c>
      <x:c r="L21" s="20" t="n">
        <x:v>5.0079694959623176</x:v>
      </x:c>
      <x:c r="M21" s="20" t="n">
        <x:v>4.651218897465464</x:v>
      </x:c>
      <x:c r="N21" s="20" t="str">
        <x:v>n.a.</x:v>
      </x:c>
      <x:c r="O21" s="21" t="n">
        <x:f>L21/M21-1</x:f>
        <x:v>0.07670045344269938</x:v>
      </x:c>
      <x:c r="P21" s="4" t="str">
        <x:v>XYZ</x:v>
      </x:c>
      <x:c r="Q21" s="4" t="str">
        <x:v>ok</x:v>
      </x:c>
      <x:c r="R21" s="4" t="str">
        <x:v>初始平衡</x:v>
      </x:c>
      <x:c r="S21" s="4" t="str">
        <x:v>validation/interface_width_20261008_r37/result.json</x:v>
      </x:c>
      <x:c r="T21" s="4" t="str">
        <x:v>validation/initial_tangent_20261008_r30/abaqus/shell_result.json</x:v>
      </x:c>
    </x:row>
    <x:row r="22" ht="25" customHeight="1">
      <x:c r="A22" s="4" t="str">
        <x:v>04-Kwmixed</x:v>
      </x:c>
      <x:c r="B22" s="4" t="str">
        <x:v>diverse_04</x:v>
      </x:c>
      <x:c r="C22" s="4" t="str">
        <x:v>平滑 w0.025 局部12³</x:v>
      </x:c>
      <x:c r="D22" s="4" t="n">
        <x:v>32</x:v>
      </x:c>
      <x:c r="E22" s="4" t="str">
        <x:v>HEX27</x:v>
      </x:c>
      <x:c r="F22" s="4" t="str">
        <x:v>1941区12³/余27</x:v>
      </x:c>
      <x:c r="G22" s="9" t="n">
        <x:v>0.5</x:v>
      </x:c>
      <x:c r="H22" s="9" t="n">
        <x:v>0.025</x:v>
      </x:c>
      <x:c r="I22" s="4" t="str">
        <x:v>平滑</x:v>
      </x:c>
      <x:c r="J22" s="20" t="n">
        <x:v>0.01</x:v>
      </x:c>
      <x:c r="K22" s="20" t="n">
        <x:v>0.004908434669629863</x:v>
      </x:c>
      <x:c r="L22" s="20" t="n">
        <x:v>4.908434669629863</x:v>
      </x:c>
      <x:c r="M22" s="20" t="n">
        <x:v>4.651218897465464</x:v>
      </x:c>
      <x:c r="N22" s="20" t="n">
        <x:v>0.004651219118386507</x:v>
      </x:c>
      <x:c r="O22" s="21" t="n">
        <x:f>L22/M22-1</x:f>
        <x:v>0.05530072392519769</x:v>
      </x:c>
      <x:c r="P22" s="4" t="str">
        <x:v>XYZ</x:v>
      </x:c>
      <x:c r="Q22" s="4" t="str">
        <x:v>ok</x:v>
      </x:c>
      <x:c r="R22" s="4" t="str">
        <x:v>初始平衡</x:v>
      </x:c>
      <x:c r="S22" s="4" t="str">
        <x:v>validation/interface_width_mixed_20261008_r38/result.json</x:v>
      </x:c>
      <x:c r="T22" s="4" t="str">
        <x:v>validation/initial_tangent_20261008_r30/abaqus/shell_result.json</x:v>
      </x:c>
    </x:row>
    <x:row r="23" ht="25" customHeight="1">
      <x:c r="A23" s="4" t="str">
        <x:v>04-Kbin</x:v>
      </x:c>
      <x:c r="B23" s="4" t="str">
        <x:v>diverse_04</x:v>
      </x:c>
      <x:c r="C23" s="4" t="str">
        <x:v>二值 原27</x:v>
      </x:c>
      <x:c r="D23" s="4" t="n">
        <x:v>32</x:v>
      </x:c>
      <x:c r="E23" s="4" t="str">
        <x:v>HEX27</x:v>
      </x:c>
      <x:c r="F23" s="4" t="str">
        <x:v>27</x:v>
      </x:c>
      <x:c r="G23" s="9" t="n">
        <x:v>0.5</x:v>
      </x:c>
      <x:c r="H23" s="9" t="n">
        <x:v>0</x:v>
      </x:c>
      <x:c r="I23" s="4" t="str">
        <x:v>二值</x:v>
      </x:c>
      <x:c r="J23" s="20" t="n">
        <x:v>0.01</x:v>
      </x:c>
      <x:c r="K23" s="20" t="n">
        <x:v>0.004719388773981349</x:v>
      </x:c>
      <x:c r="L23" s="20" t="n">
        <x:v>4.719388773981349</x:v>
      </x:c>
      <x:c r="M23" s="20" t="n">
        <x:v>4.651218897465464</x:v>
      </x:c>
      <x:c r="N23" s="20" t="n">
        <x:v>0.004651219118386507</x:v>
      </x:c>
      <x:c r="O23" s="21" t="n">
        <x:f>L23/M23-1</x:f>
        <x:v>0.014656346652063945</x:v>
      </x:c>
      <x:c r="P23" s="4" t="str">
        <x:v>XYZ</x:v>
      </x:c>
      <x:c r="Q23" s="4" t="str">
        <x:v>ok</x:v>
      </x:c>
      <x:c r="R23" s="4" t="str">
        <x:v>初始平衡</x:v>
      </x:c>
      <x:c r="S23" s="4" t="str">
        <x:v>validation/binary_occupancy_20261008_r40/original27/jax_result.json</x:v>
      </x:c>
      <x:c r="T23" s="4" t="str">
        <x:v>validation/initial_tangent_20261008_r30/abaqus/shell_result.json</x:v>
      </x:c>
    </x:row>
    <x:row r="24" ht="25" customHeight="1">
      <x:c r="A24" s="4" t="str">
        <x:v>04-Kbinmixed</x:v>
      </x:c>
      <x:c r="B24" s="4" t="str">
        <x:v>diverse_04</x:v>
      </x:c>
      <x:c r="C24" s="4" t="str">
        <x:v>二值 局部12³</x:v>
      </x:c>
      <x:c r="D24" s="4" t="n">
        <x:v>32</x:v>
      </x:c>
      <x:c r="E24" s="4" t="str">
        <x:v>HEX27</x:v>
      </x:c>
      <x:c r="F24" s="4" t="str">
        <x:v>1941区12³/余27</x:v>
      </x:c>
      <x:c r="G24" s="9" t="n">
        <x:v>0.5</x:v>
      </x:c>
      <x:c r="H24" s="9" t="n">
        <x:v>0</x:v>
      </x:c>
      <x:c r="I24" s="4" t="str">
        <x:v>二值</x:v>
      </x:c>
      <x:c r="J24" s="20" t="n">
        <x:v>0.01</x:v>
      </x:c>
      <x:c r="K24" s="20" t="n">
        <x:v>0.0048485703015184</x:v>
      </x:c>
      <x:c r="L24" s="20" t="n">
        <x:v>4.848570301518399</x:v>
      </x:c>
      <x:c r="M24" s="20" t="n">
        <x:v>4.651218897465464</x:v>
      </x:c>
      <x:c r="N24" s="20" t="n">
        <x:v>0.004651219118386507</x:v>
      </x:c>
      <x:c r="O24" s="21" t="n">
        <x:f>L24/M24-1</x:f>
        <x:v>0.0424300400397144</x:v>
      </x:c>
      <x:c r="P24" s="4" t="str">
        <x:v>XYZ</x:v>
      </x:c>
      <x:c r="Q24" s="4" t="str">
        <x:v>ok</x:v>
      </x:c>
      <x:c r="R24" s="4" t="str">
        <x:v>初始平衡</x:v>
      </x:c>
      <x:c r="S24" s="4" t="str">
        <x:v>validation/binary_occupancy_20261008_r40/mixed12/result.json</x:v>
      </x:c>
      <x:c r="T24" s="4" t="str">
        <x:v>validation/initial_tangent_20261008_r30/abaqus/shell_result.json</x:v>
      </x:c>
    </x:row>
    <x:row r="25" ht="25" customHeight="1">
      <x:c r="A25" s="4" t="str">
        <x:v>28-Kbase</x:v>
      </x:c>
      <x:c r="B25" s="4" t="str">
        <x:v>diverse_28</x:v>
      </x:c>
      <x:c r="C25" s="4" t="str">
        <x:v>平滑 原27</x:v>
      </x:c>
      <x:c r="D25" s="4" t="n">
        <x:v>32</x:v>
      </x:c>
      <x:c r="E25" s="4" t="str">
        <x:v>HEX27</x:v>
      </x:c>
      <x:c r="F25" s="4" t="str">
        <x:v>27</x:v>
      </x:c>
      <x:c r="G25" s="9" t="n">
        <x:v>0.5</x:v>
      </x:c>
      <x:c r="H25" s="9" t="n">
        <x:v>0.05</x:v>
      </x:c>
      <x:c r="I25" s="4" t="str">
        <x:v>平滑</x:v>
      </x:c>
      <x:c r="J25" s="20" t="n">
        <x:v>0.01</x:v>
      </x:c>
      <x:c r="K25" s="20" t="n">
        <x:v>0.0038882555807871677</x:v>
      </x:c>
      <x:c r="L25" s="20" t="n">
        <x:v>3.8882555807871677</x:v>
      </x:c>
      <x:c r="M25" s="20" t="n">
        <x:v>3.7748837447547623</x:v>
      </x:c>
      <x:c r="N25" s="20" t="n">
        <x:v>0.0037748839240521193</x:v>
      </x:c>
      <x:c r="O25" s="21" t="n">
        <x:f>L25/M25-1</x:f>
        <x:v>0.03003319935082427</x:v>
      </x:c>
      <x:c r="P25" s="4" t="str">
        <x:v>XYZ</x:v>
      </x:c>
      <x:c r="Q25" s="4" t="str">
        <x:v>ok</x:v>
      </x:c>
      <x:c r="R25" s="4" t="str">
        <x:v>初始平衡</x:v>
      </x:c>
      <x:c r="S25" s="4" t="str">
        <x:v>validation/initial_diverse28_20261008_r41/jax_result.json</x:v>
      </x:c>
      <x:c r="T25" s="4" t="str">
        <x:v>validation/initial_diverse28_20261008_r41/abaqus/shell_result.json</x:v>
      </x:c>
    </x:row>
    <x:row r="26" ht="25" customHeight="1">
      <x:c r="A26" s="4" t="str">
        <x:v>28-Kmixed</x:v>
      </x:c>
      <x:c r="B26" s="4" t="str">
        <x:v>diverse_28</x:v>
      </x:c>
      <x:c r="C26" s="4" t="str">
        <x:v>平滑 局部12³</x:v>
      </x:c>
      <x:c r="D26" s="4" t="n">
        <x:v>32</x:v>
      </x:c>
      <x:c r="E26" s="4" t="str">
        <x:v>HEX27</x:v>
      </x:c>
      <x:c r="F26" s="4" t="str">
        <x:v>3896区12³/余27</x:v>
      </x:c>
      <x:c r="G26" s="9" t="n">
        <x:v>0.5</x:v>
      </x:c>
      <x:c r="H26" s="9" t="n">
        <x:v>0.05</x:v>
      </x:c>
      <x:c r="I26" s="4" t="str">
        <x:v>平滑</x:v>
      </x:c>
      <x:c r="J26" s="20" t="n">
        <x:v>0.01</x:v>
      </x:c>
      <x:c r="K26" s="20" t="n">
        <x:v>0.003907643951586478</x:v>
      </x:c>
      <x:c r="L26" s="20" t="n">
        <x:v>3.907643951586478</x:v>
      </x:c>
      <x:c r="M26" s="20" t="n">
        <x:v>3.7748837447547623</x:v>
      </x:c>
      <x:c r="N26" s="20" t="n">
        <x:v>0.0037748839240521193</x:v>
      </x:c>
      <x:c r="O26" s="21" t="n">
        <x:f>L26/M26-1</x:f>
        <x:v>0.03516934978890074</x:v>
      </x:c>
      <x:c r="P26" s="4" t="str">
        <x:v>XYZ</x:v>
      </x:c>
      <x:c r="Q26" s="4" t="str">
        <x:v>ok</x:v>
      </x:c>
      <x:c r="R26" s="4" t="str">
        <x:v>初始平衡</x:v>
      </x:c>
      <x:c r="S26" s="4" t="str">
        <x:v>validation/binary_diverse28_20261008_r43/smooth_mixed12/result.json</x:v>
      </x:c>
      <x:c r="T26" s="4" t="str">
        <x:v>validation/initial_diverse28_20261008_r41/abaqus/shell_result.json</x:v>
      </x:c>
    </x:row>
    <x:row r="27" ht="25" customHeight="1">
      <x:c r="A27" s="4" t="str">
        <x:v>28-Kbin</x:v>
      </x:c>
      <x:c r="B27" s="4" t="str">
        <x:v>diverse_28</x:v>
      </x:c>
      <x:c r="C27" s="4" t="str">
        <x:v>二值 原27</x:v>
      </x:c>
      <x:c r="D27" s="4" t="n">
        <x:v>32</x:v>
      </x:c>
      <x:c r="E27" s="4" t="str">
        <x:v>HEX27</x:v>
      </x:c>
      <x:c r="F27" s="4" t="str">
        <x:v>27</x:v>
      </x:c>
      <x:c r="G27" s="9" t="n">
        <x:v>0.5</x:v>
      </x:c>
      <x:c r="H27" s="9" t="n">
        <x:v>0</x:v>
      </x:c>
      <x:c r="I27" s="4" t="str">
        <x:v>二值</x:v>
      </x:c>
      <x:c r="J27" s="20" t="n">
        <x:v>0.01</x:v>
      </x:c>
      <x:c r="K27" s="20" t="n">
        <x:v>0.003701633095775124</x:v>
      </x:c>
      <x:c r="L27" s="20" t="n">
        <x:v>3.701633095775124</x:v>
      </x:c>
      <x:c r="M27" s="20" t="n">
        <x:v>3.7748837447547623</x:v>
      </x:c>
      <x:c r="N27" s="20" t="n">
        <x:v>0.0037748839240521193</x:v>
      </x:c>
      <x:c r="O27" s="21" t="n">
        <x:f>L27/M27-1</x:f>
        <x:v>-0.019404743015310255</x:v>
      </x:c>
      <x:c r="P27" s="4" t="str">
        <x:v>XYZ</x:v>
      </x:c>
      <x:c r="Q27" s="4" t="str">
        <x:v>ok</x:v>
      </x:c>
      <x:c r="R27" s="4" t="str">
        <x:v>初始平衡</x:v>
      </x:c>
      <x:c r="S27" s="4" t="str">
        <x:v>validation/binary_diverse28_20261008_r43/original27/jax_result.json</x:v>
      </x:c>
      <x:c r="T27" s="4" t="str">
        <x:v>validation/initial_diverse28_20261008_r41/abaqus/shell_result.json</x:v>
      </x:c>
    </x:row>
    <x:row r="28" ht="25" customHeight="1">
      <x:c r="A28" s="4" t="str">
        <x:v>28-Kbinmixed</x:v>
      </x:c>
      <x:c r="B28" s="4" t="str">
        <x:v>diverse_28</x:v>
      </x:c>
      <x:c r="C28" s="4" t="str">
        <x:v>二值 局部12³</x:v>
      </x:c>
      <x:c r="D28" s="4" t="n">
        <x:v>32</x:v>
      </x:c>
      <x:c r="E28" s="4" t="str">
        <x:v>HEX27</x:v>
      </x:c>
      <x:c r="F28" s="4" t="str">
        <x:v>3896区12³/余27</x:v>
      </x:c>
      <x:c r="G28" s="9" t="n">
        <x:v>0.5</x:v>
      </x:c>
      <x:c r="H28" s="9" t="n">
        <x:v>0</x:v>
      </x:c>
      <x:c r="I28" s="4" t="str">
        <x:v>二值</x:v>
      </x:c>
      <x:c r="J28" s="20" t="n">
        <x:v>0.01</x:v>
      </x:c>
      <x:c r="K28" s="20" t="n">
        <x:v>0.0038160682780092334</x:v>
      </x:c>
      <x:c r="L28" s="20" t="n">
        <x:v>3.8160682780092334</x:v>
      </x:c>
      <x:c r="M28" s="20" t="n">
        <x:v>3.7748837447547623</x:v>
      </x:c>
      <x:c r="N28" s="20" t="n">
        <x:v>0.0037748839240521193</x:v>
      </x:c>
      <x:c r="O28" s="21" t="n">
        <x:f>L28/M28-1</x:f>
        <x:v>0.010910146123492614</x:v>
      </x:c>
      <x:c r="P28" s="4" t="str">
        <x:v>XYZ</x:v>
      </x:c>
      <x:c r="Q28" s="4" t="str">
        <x:v>ok</x:v>
      </x:c>
      <x:c r="R28" s="4" t="str">
        <x:v>初始平衡</x:v>
      </x:c>
      <x:c r="S28" s="4" t="str">
        <x:v>validation/binary_diverse28_20261008_r43/binary_mixed12/result.json</x:v>
      </x:c>
      <x:c r="T28" s="4" t="str">
        <x:v>validation/initial_diverse28_20261008_r41/abaqus/shell_result.json</x:v>
      </x:c>
    </x:row>
  </x:sheetData>
  <x:pageMargins left="0.7" right="0.7" top="0.75" bottom="0.75" header="0.3" footer="0.3"/>
  <x:tableParts count="1">
    <x:tablePart xmlns:r="http://schemas.openxmlformats.org/officeDocument/2006/relationships" r:id="Raa1641872810447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95" hidden="0" customWidth="1"/>
    <x:col min="2" max="2" width="24" hidden="0" customWidth="1"/>
    <x:col min="3" max="3" width="120" hidden="0" customWidth="1"/>
  </x:cols>
  <x:sheetData>
    <x:row r="2">
      <x:c r="A2" s="1" t="str">
        <x:v>重复副本、无有效路径和原失败记录</x:v>
      </x:c>
    </x:row>
    <x:row r="6" ht="40" customHeight="1">
      <x:c r="A6" s="8" t="str">
        <x:v>来源</x:v>
      </x:c>
      <x:c r="B6" s="8" t="str">
        <x:v>原ID</x:v>
      </x:c>
      <x:c r="C6" s="8" t="str">
        <x:v>保留原因/不能画为独立路径的原因</x:v>
      </x:c>
    </x:row>
    <x:row r="7" ht="25" customHeight="1">
      <x:c r="A7" s="4" t="str">
        <x:v>validation/thin_target_20261004_r5/step3_xyz/attempt1_a0p010000/shell.json</x:v>
      </x:c>
      <x:c r="B7" s="4" t="str">
        <x:v>28-ST1old</x:v>
      </x:c>
      <x:c r="C7" s="4" t="str">
        <x:v>相同时间/压缩/反力记录，已画 28-ST1</x:v>
      </x:c>
    </x:row>
    <x:row r="8" ht="25" customHeight="1">
      <x:c r="A8" s="4" t="str">
        <x:v>validation/thin_target_20261004_r5/step3_xyz/attempt2_mgs_a0p050000/shell.json</x:v>
      </x:c>
      <x:c r="B8" s="4" t="str">
        <x:v>28-ST5mid</x:v>
      </x:c>
      <x:c r="C8" s="4" t="str">
        <x:v>相同时间/压缩/反力记录，已画 28-ST5</x:v>
      </x:c>
    </x:row>
    <x:row r="9" ht="25" customHeight="1">
      <x:c r="A9" s="4" t="str">
        <x:v>validation/thin_target_20261004_r5/step4_thickness_a01/t0p498000/shell.json</x:v>
      </x:c>
      <x:c r="B9" s="4" t="str">
        <x:v>28-ST498</x:v>
      </x:c>
      <x:c r="C9" s="4" t="str">
        <x:v>相同时间/压缩/反力记录，已画 28-ST498old</x:v>
      </x:c>
    </x:row>
    <x:row r="10" ht="25" customHeight="1">
      <x:c r="A10" s="4" t="str">
        <x:v>validation/binary_full20_20261008_r44/continuation_from_budget/result.json</x:v>
      </x:c>
      <x:c r="B10" s="4" t="str"/>
      <x:c r="C10" s="4" t="str">
        <x:v>结果内嵌/原失败文件的相同曲线副本</x:v>
      </x:c>
    </x:row>
    <x:row r="11" ht="25" customHeight="1">
      <x:c r="A11" s="4" t="str">
        <x:v>validation/binary_full20_20261008_r44/full_from_zero/accepted_path.json</x:v>
      </x:c>
      <x:c r="B11" s="4" t="str"/>
      <x:c r="C11" s="4" t="str">
        <x:v>r44原预算停止前缀，精确包含于04-B32完整接续，不另算新路径</x:v>
      </x:c>
    </x:row>
    <x:row r="12" ht="25" customHeight="1">
      <x:c r="A12" s="4" t="str">
        <x:v>validation/binary_full20_20261008_r44/full_from_zero/failure.json</x:v>
      </x:c>
      <x:c r="B12" s="4" t="str"/>
      <x:c r="C12" s="4" t="str">
        <x:v>r44原预算停止前缀，精确包含于04-B32完整接续，不另算新路径</x:v>
      </x:c>
    </x:row>
    <x:row r="13" ht="25" customHeight="1">
      <x:c r="A13" s="4" t="str">
        <x:v>validation/binary_n64_20261009_r45/full_N64/accepted_path.json</x:v>
      </x:c>
      <x:c r="B13" s="4" t="str"/>
      <x:c r="C13" s="4" t="str">
        <x:v>仅零态准备，无非零接受路径</x:v>
      </x:c>
    </x:row>
    <x:row r="14" ht="25" customHeight="1">
      <x:c r="A14" s="4" t="str">
        <x:v>validation/binary_n64_20261009_r45/full_N64/failure.json</x:v>
      </x:c>
      <x:c r="B14" s="4" t="str"/>
      <x:c r="C14" s="4" t="str">
        <x:v>仅零态准备，无非零接受路径</x:v>
      </x:c>
    </x:row>
    <x:row r="15" ht="25" customHeight="1">
      <x:c r="A15" s="4" t="str">
        <x:v>validation/binary_n64_20261009_r45/peak_N64/failure.json</x:v>
      </x:c>
      <x:c r="B15" s="4" t="str"/>
      <x:c r="C15" s="4" t="str">
        <x:v>结果内嵌/原失败文件的相同曲线副本</x:v>
      </x:c>
    </x:row>
    <x:row r="16" ht="25" customHeight="1">
      <x:c r="A16" s="4" t="str">
        <x:v>validation/jax_improvement_20261006_r8/uniform_q6/result.json</x:v>
      </x:c>
      <x:c r="B16" s="4" t="str"/>
      <x:c r="C16" s="4" t="str">
        <x:v>均匀或自由波数值控制，无TPMS压缩加载，不作该构型响应</x:v>
      </x:c>
    </x:row>
    <x:row r="17" ht="25" customHeight="1">
      <x:c r="A17" s="4" t="str">
        <x:v>validation/large_compression_20261005_r6/explicit/wave_check/result.json</x:v>
      </x:c>
      <x:c r="B17" s="4" t="str"/>
      <x:c r="C17" s="4" t="str">
        <x:v>均匀或自由波数值控制，无TPMS压缩加载，不作该构型响应</x:v>
      </x:c>
    </x:row>
    <x:row r="18" ht="25" customHeight="1">
      <x:c r="A18" s="4" t="str">
        <x:v>validation/large_compression_20261005_r6/gradient20_path_20261005/q1_wave_after_interface/result.json</x:v>
      </x:c>
      <x:c r="B18" s="4" t="str"/>
      <x:c r="C18" s="4" t="str">
        <x:v>均匀或自由波数值控制，无TPMS压缩加载，不作该构型响应</x:v>
      </x:c>
    </x:row>
    <x:row r="19" ht="25" customHeight="1">
      <x:c r="A19" s="4" t="str">
        <x:v>validation/large_compression_20261005_r6/quadratic_wave/result.json</x:v>
      </x:c>
      <x:c r="B19" s="4" t="str"/>
      <x:c r="C19" s="4" t="str">
        <x:v>均匀或自由波数值控制，无TPMS压缩加载，不作该构型响应</x:v>
      </x:c>
    </x:row>
    <x:row r="20" ht="25" customHeight="1">
      <x:c r="A20" s="4" t="str">
        <x:v>validation/large_compression_20261005_r6/quadratic_wave_runtime_geometry/result.json</x:v>
      </x:c>
      <x:c r="B20" s="4" t="str"/>
      <x:c r="C20" s="4" t="str">
        <x:v>均匀或自由波数值控制，无TPMS压缩加载，不作该构型响应</x:v>
      </x:c>
    </x:row>
    <x:row r="21" ht="25" customHeight="1">
      <x:c r="A21" s="4" t="str">
        <x:v>validation/mechanism_20261007_r17/original_diagnostic/failure.json</x:v>
      </x:c>
      <x:c r="B21" s="4" t="str"/>
      <x:c r="C21" s="4" t="str">
        <x:v>结果内嵌/原失败文件的相同曲线副本</x:v>
      </x:c>
    </x:row>
    <x:row r="22" ht="25" customHeight="1">
      <x:c r="A22" s="4" t="str">
        <x:v>validation/mechanism_20261007_r17/short_dt_replay/result.json</x:v>
      </x:c>
      <x:c r="B22" s="4" t="str"/>
      <x:c r="C22" s="4" t="str">
        <x:v>结果内嵌/原失败文件的相同曲线副本</x:v>
      </x:c>
    </x:row>
    <x:row r="23" ht="25" customHeight="1">
      <x:c r="A23" s="4" t="str">
        <x:v>validation/n64_resolution_20261008_r28/full_from_zero/failure.json</x:v>
      </x:c>
      <x:c r="B23" s="4" t="str"/>
      <x:c r="C23" s="4" t="str">
        <x:v>结果内嵌/原失败文件的相同曲线副本</x:v>
      </x:c>
    </x:row>
    <x:row r="24" ht="25" customHeight="1">
      <x:c r="A24" s="4" t="str">
        <x:v>validation/shell_fill_diagnostic_20261007_r25/results/result_gauge.json</x:v>
      </x:c>
      <x:c r="B24" s="4" t="str"/>
      <x:c r="C24" s="4" t="str">
        <x:v>结果内嵌/原失败文件的相同曲线副本</x:v>
      </x:c>
    </x:row>
    <x:row r="25" ht="25" customHeight="1">
      <x:c r="A25" s="4" t="str">
        <x:v>validation/step_control_20261007_r18/controlled_forward/failure.json</x:v>
      </x:c>
      <x:c r="B25" s="4" t="str"/>
      <x:c r="C25" s="4" t="str">
        <x:v>结果内嵌/原失败文件的相同曲线副本</x:v>
      </x:c>
    </x:row>
    <x:row r="26" ht="25" customHeight="1">
      <x:c r="A26" s="4" t="str">
        <x:v>validation/void_support_20261007_r26/forward/failure.json</x:v>
      </x:c>
      <x:c r="B26" s="4" t="str"/>
      <x:c r="C26" s="4" t="str">
        <x:v>结果内嵌/原失败文件的相同曲线副本</x:v>
      </x:c>
    </x:row>
    <x:row r="27" ht="25" customHeight="1">
      <x:c r="A27" s="4" t="str">
        <x:v>validation/binary_n64_20261009_r45/full_N64/failure.json</x:v>
      </x:c>
      <x:c r="B27" s="4" t="str"/>
      <x:c r="C27" s="4" t="str"/>
    </x:row>
    <x:row r="28" ht="25" customHeight="1">
      <x:c r="A28" s="4" t="str">
        <x:v>validation/binary_n64_20261009_r45/peak_N64/failure.json</x:v>
      </x:c>
      <x:c r="B28" s="4" t="str"/>
      <x:c r="C28" s="4" t="str">
        <x:v>Controlled forward budget stop; not a numerical method failure</x:v>
      </x:c>
    </x:row>
    <x:row r="29" ht="25" customHeight="1">
      <x:c r="A29" s="4" t="str">
        <x:v>validation/geometry_transfer_20261006_r15/operator_stop.json</x:v>
      </x:c>
      <x:c r="B29" s="4" t="str"/>
      <x:c r="C29" s="4" t="str">
        <x:v>Main plan requires stopping on actual inertia/completion concern. Rejected nonfinite blocks plus KE/U well above 5%; do not extend/retune merely to reach 20%.</x:v>
      </x:c>
    </x:row>
    <x:row r="30" ht="25" customHeight="1">
      <x:c r="A30" s="4" t="str">
        <x:v>validation/large_compression_20261005_r6/explicit/N64_T0p004/failure.json</x:v>
      </x:c>
      <x:c r="B30" s="4" t="str"/>
      <x:c r="C30" s="4" t="str">
        <x:v>Nonfinite displacement or nonpositive reference Gauss detF</x:v>
      </x:c>
    </x:row>
    <x:row r="31" ht="25" customHeight="1">
      <x:c r="A31" s="4" t="str">
        <x:v>validation/large_compression_20261005_r6/gradient20/endpoint/algorithm_stop.json</x:v>
      </x:c>
      <x:c r="B31" s="4" t="str"/>
      <x:c r="C31" s="4" t="str">
        <x:v>residual stagnation in thickness-minus Newton; try same-model energy line search</x:v>
      </x:c>
    </x:row>
    <x:row r="32" ht="25" customHeight="1">
      <x:c r="A32" s="4" t="str">
        <x:v>validation/large_compression_20261005_r6/gradient20/endpoint_energy/failure.json</x:v>
      </x:c>
      <x:c r="B32" s="4" t="str"/>
      <x:c r="C32" s="4" t="str">
        <x:v>Newton direction is not an energy descent direction</x:v>
      </x:c>
    </x:row>
    <x:row r="33" ht="25" customHeight="1">
      <x:c r="A33" s="4" t="str">
        <x:v>validation/large_compression_20261005_r6/static/a0p150000/failure.json</x:v>
      </x:c>
      <x:c r="B33" s="4" t="str"/>
      <x:c r="C33" s="4" t="str">
        <x:v>error code 91
[0] KSPSolve() at /home/conda/feedstock_root/build_artifacts/bld/rattler-build_petsc_1790630496/work/src/ksp/ksp/interface/itfunc.c:1094
[0] KSPSolve_Private() at /home/conda/feedstock_root/build_artifacts/bld/rattler-build_petsc_179063</x:v>
      </x:c>
    </x:row>
    <x:row r="34" ht="25" customHeight="1">
      <x:c r="A34" s="4" t="str">
        <x:v>validation/mechanism_20261007_r17/original_diagnostic/failure.json</x:v>
      </x:c>
      <x:c r="B34" s="4" t="str"/>
      <x:c r="C34" s="4" t="str">
        <x:v>Nonfinite state or material energy/force</x:v>
      </x:c>
    </x:row>
    <x:row r="35" ht="25" customHeight="1">
      <x:c r="A35" s="4" t="str">
        <x:v>validation/n64_resolution_20261008_r28/full_from_zero/failure.json</x:v>
      </x:c>
      <x:c r="B35" s="4" t="str"/>
      <x:c r="C35" s="4" t="str">
        <x:v>Finite rollback reaches unchanged initial/16 safeguard</x:v>
      </x:c>
    </x:row>
    <x:row r="36" ht="25" customHeight="1">
      <x:c r="A36" s="4" t="str">
        <x:v>validation/step_control_20261007_r18/controlled_forward/failure.json</x:v>
      </x:c>
      <x:c r="B36" s="4" t="str"/>
      <x:c r="C36" s="4" t="str">
        <x:v>Controlled forward budget stop; not a numerical method failure</x:v>
      </x:c>
    </x:row>
    <x:row r="37" ht="25" customHeight="1">
      <x:c r="A37" s="4" t="str">
        <x:v>validation/thin_target_20261004_r5/step3_xyz/attempt1_a0p010000/failure.json</x:v>
      </x:c>
      <x:c r="B37" s="4" t="str"/>
      <x:c r="C37" s="4" t="str">
        <x:v>error code 82
[0] KSPSolve() at /home/conda/feedstock_root/build_artifacts/bld/rattler-build_petsc_1790630496/work/src/ksp/ksp/interface/itfunc.c:1094
[0] KSPSolve_Private() at /home/conda/feedstock_root/build_artifacts/bld/rattler-build_petsc_179063</x:v>
      </x:c>
    </x:row>
    <x:row r="38" ht="25" customHeight="1">
      <x:c r="A38" s="4" t="str">
        <x:v>validation/thin_target_20261004_r5/step3_xyz/attempt1_a0p050000/failure.json</x:v>
      </x:c>
      <x:c r="B38" s="4" t="str"/>
      <x:c r="C38" s="4" t="str">
        <x:v>error code 82
[0] KSPSolve() at /home/conda/feedstock_root/build_artifacts/bld/rattler-build_petsc_1790630496/work/src/ksp/ksp/interface/itfunc.c:1094
[0] KSPSolve_Private() at /home/conda/feedstock_root/build_artifacts/bld/rattler-build_petsc_179063</x:v>
      </x:c>
    </x:row>
    <x:row r="39" ht="25" customHeight="1">
      <x:c r="A39" s="4" t="str">
        <x:v>validation/thin_target_20261004_r5/step3_xyz/attempt2_mgs_a0p050000/failure.json</x:v>
      </x:c>
      <x:c r="B39" s="4" t="str"/>
      <x:c r="C39" s="4" t="str">
        <x:v>error code 82
[0] KSPSolve() at /home/conda/feedstock_root/build_artifacts/bld/rattler-build_petsc_1790630496/work/src/ksp/ksp/interface/itfunc.c:1094
[0] KSPSolve_Private() at /home/conda/feedstock_root/build_artifacts/bld/rattler-build_petsc_179063</x:v>
      </x:c>
    </x:row>
    <x:row r="40" ht="25" customHeight="1">
      <x:c r="A40" s="4" t="str">
        <x:v>validation/thin_target_20261004_r5/step4_thickness_a01/attempt1_memory_t0p498000/stop_context.json</x:v>
      </x:c>
      <x:c r="B40" s="4" t="str"/>
      <x:c r="C40" s="4" t="str">
        <x:v>guard policy, not OOM or numerical divergence</x:v>
      </x:c>
    </x:row>
    <x:row r="41" ht="25" customHeight="1">
      <x:c r="A41" s="4" t="str">
        <x:v>validation/thin_target_20261004_r5/step4_thickness_a01/attempt1_overlap_t0p499000/stop_context.json</x:v>
      </x:c>
      <x:c r="B41" s="4" t="str"/>
      <x:c r="C41" s="4" t="str">
        <x:v>operator interrupted attempt after scheduling overlap and prolonged no-progress observation; retry separately</x:v>
      </x:c>
    </x:row>
    <x:row r="42" ht="25" customHeight="1">
      <x:c r="A42" s="4" t="str">
        <x:v>validation/thin_target_20261004_r5/step4_thickness_a01/attempt1_scheduling_t0p501000/stop_context.json</x:v>
      </x:c>
      <x:c r="B42" s="4" t="str"/>
      <x:c r="C42" s="4" t="str">
        <x:v>agent scheduling mistake: overlap with .499 process; guard stopped new .501 process before completion</x:v>
      </x:c>
    </x:row>
    <x:row r="43" ht="25" customHeight="1">
      <x:c r="A43" s="4" t="str">
        <x:v>validation/simulation_error_20261006_r7/</x:v>
      </x:c>
      <x:c r="B43" s="4" t="str"/>
      <x:c r="C43" s="4" t="str">
        <x:v>恒厚保形体网格未通过；无独立新增TPMS实体响应路径</x:v>
      </x:c>
    </x:row>
    <x:row r="44" ht="25" customHeight="1">
      <x:c r="A44" s="4" t="str">
        <x:v>validation/virtual_kernel_20261006_r9/</x:v>
      </x:c>
      <x:c r="B44" s="4" t="str"/>
      <x:c r="C44" s="4" t="str">
        <x:v>经典虚域核转动缺陷；未采用，未算独立压缩路径</x:v>
      </x:c>
    </x:row>
    <x:row r="45" ht="25" customHeight="1">
      <x:c r="A45" s="4" t="str">
        <x:v>validation/objective_virtual_20261006_r10/</x:v>
      </x:c>
      <x:c r="B45" s="4" t="str"/>
      <x:c r="C45" s="4" t="str">
        <x:v>纯核/既有场验证；没有新压缩路径</x:v>
      </x:c>
    </x:row>
    <x:row r="46" ht="25" customHeight="1">
      <x:c r="A46" s="4" t="str">
        <x:v>validation/critical_mode_20261007_r21/</x:v>
      </x:c>
      <x:c r="B46" s="4" t="str"/>
      <x:c r="C46" s="4" t="str">
        <x:v>受限谱/细空间残差诊断；不是力-压缩路径</x:v>
      </x:c>
    </x:row>
    <x:row r="47" ht="25" customHeight="1">
      <x:c r="A47" s="4" t="str">
        <x:v>validation/fine_mode_20261007_r22/</x:v>
      </x:c>
      <x:c r="B47" s="4" t="str"/>
      <x:c r="C47" s="4" t="str">
        <x:v>四方向200迭代未收敛；不当作临界点证据</x:v>
      </x:c>
    </x:row>
    <x:row r="48" ht="25" customHeight="1">
      <x:c r="A48" s="4" t="str">
        <x:v>validation/background_probe_20261007_r24/</x:v>
      </x:c>
      <x:c r="B48" s="4" t="str"/>
      <x:c r="C48" s="4" t="str">
        <x:v>参考背景源仅准备，未编译/运行；没有ABAQUS27节点对照曲线</x:v>
      </x:c>
    </x:row>
    <x:row r="49" ht="25" customHeight="1">
      <x:c r="A49" s="4" t="str">
        <x:v>validation/initial_bias_mechanism_20261008_r32/</x:v>
      </x:c>
      <x:c r="B49" s="4" t="str"/>
      <x:c r="C49" s="4" t="str">
        <x:v>已有初始场能量/膜迹后处理，无新压缩路径</x:v>
      </x:c>
    </x:row>
    <x:row r="50" ht="25" customHeight="1">
      <x:c r="A50" s="4" t="str">
        <x:v>validation/thickness_kinematics_20261008_r35/</x:v>
      </x:c>
      <x:c r="B50" s="4" t="str"/>
      <x:c r="C50" s="4" t="str">
        <x:v>穿厚度已有场后处理，无新平衡路径</x:v>
      </x:c>
    </x:row>
    <x:row r="51" ht="25" customHeight="1">
      <x:c r="A51" s="4" t="str">
        <x:v>validation/compatible_mode_20261008_r36/</x:v>
      </x:c>
      <x:c r="B51" s="4" t="str"/>
      <x:c r="C51" s="4" t="str">
        <x:v>固定节点局部模式释放，不是新全局刚度</x:v>
      </x:c>
    </x:row>
    <x:row r="52" ht="25" customHeight="1">
      <x:c r="A52" s="4" t="str">
        <x:v>validation/initial_bias_reassessment_20261008_r42/</x:v>
      </x:c>
      <x:c r="B52" s="4" t="str"/>
      <x:c r="C52" s="4" t="str">
        <x:v>既有状态能量账目后处理，不另算重复仿真</x:v>
      </x:c>
    </x:row>
    <x:row r="53" ht="25" customHeight="1">
      <x:c r="A53" s="4" t="str">
        <x:v>validation/binary_mesh_reassessment_20261009_r46/</x:v>
      </x:c>
      <x:c r="B53" s="4" t="str"/>
      <x:c r="C53" s="4" t="str">
        <x:v>共同窗口复盘，原N32/N64重复使用，不另画成新仿真</x:v>
      </x:c>
    </x:row>
  </x:sheetData>
  <x:pageMargins left="0.7" right="0.7" top="0.75" bottom="0.75" header="0.3" footer="0.3"/>
  <x:tableParts count="1">
    <x:tablePart xmlns:r="http://schemas.openxmlformats.org/officeDocument/2006/relationships" r:id="Rd47499c16aae4f9b"/>
  </x:tableParts>
</x:worksheet>
</file>